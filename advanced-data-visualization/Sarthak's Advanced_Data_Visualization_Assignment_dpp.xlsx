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e7d132afe2c56566/Desktop/"/>
    </mc:Choice>
  </mc:AlternateContent>
  <xr:revisionPtr revIDLastSave="668" documentId="8_{CB281C6C-7BC3-42FB-8BEB-50B4BF0678F2}" xr6:coauthVersionLast="47" xr6:coauthVersionMax="47" xr10:uidLastSave="{4E8CE4D0-7C1C-4024-9BE8-3021922139F0}"/>
  <bookViews>
    <workbookView xWindow="-108" yWindow="-108" windowWidth="21336" windowHeight="11376" activeTab="2" xr2:uid="{D9349D80-617A-4C6B-8DE4-C6A4E634A4F9}"/>
  </bookViews>
  <sheets>
    <sheet name="Pivot_sheet" sheetId="3" r:id="rId1"/>
    <sheet name="Dashboard" sheetId="4" r:id="rId2"/>
    <sheet name="Sheet1" sheetId="1" r:id="rId3"/>
  </sheets>
  <definedNames>
    <definedName name="NativeTimeline_Date">#N/A</definedName>
    <definedName name="NativeTimeline_Date1">#N/A</definedName>
    <definedName name="Slicer_Product">#N/A</definedName>
    <definedName name="Slicer_Product1">#N/A</definedName>
    <definedName name="Slicer_Region">#N/A</definedName>
    <definedName name="Slicer_Salesperson">#N/A</definedName>
    <definedName name="Slicer_Salesperson1">#N/A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5" i="1" l="1"/>
  <c r="I3" i="1"/>
  <c r="I4" i="1"/>
  <c r="I5" i="1"/>
  <c r="I6" i="1"/>
  <c r="I7" i="1"/>
  <c r="I8" i="1"/>
  <c r="I9" i="1"/>
  <c r="I10" i="1"/>
  <c r="I11" i="1"/>
  <c r="I12" i="1"/>
  <c r="I13" i="1"/>
  <c r="I14" i="1"/>
  <c r="I15" i="1"/>
  <c r="I16" i="1"/>
  <c r="I17" i="1"/>
  <c r="I18" i="1"/>
  <c r="I19" i="1"/>
  <c r="I20" i="1"/>
  <c r="I21" i="1"/>
  <c r="I2" i="1"/>
  <c r="AE8" i="1"/>
</calcChain>
</file>

<file path=xl/sharedStrings.xml><?xml version="1.0" encoding="utf-8"?>
<sst xmlns="http://schemas.openxmlformats.org/spreadsheetml/2006/main" count="182" uniqueCount="84">
  <si>
    <t>Date</t>
  </si>
  <si>
    <t>Region</t>
  </si>
  <si>
    <t>Salesperson</t>
  </si>
  <si>
    <t>Product</t>
  </si>
  <si>
    <t>Units Sold</t>
  </si>
  <si>
    <t>Revenue</t>
  </si>
  <si>
    <t>Discount</t>
  </si>
  <si>
    <t>Profit</t>
  </si>
  <si>
    <t>East</t>
  </si>
  <si>
    <t>John Doe</t>
  </si>
  <si>
    <t>Laptop</t>
  </si>
  <si>
    <t>West</t>
  </si>
  <si>
    <t>Jane Smith</t>
  </si>
  <si>
    <t>Phone</t>
  </si>
  <si>
    <t>North</t>
  </si>
  <si>
    <t>Adam Lee</t>
  </si>
  <si>
    <t>Tablet</t>
  </si>
  <si>
    <t>South</t>
  </si>
  <si>
    <t>Emily Clark</t>
  </si>
  <si>
    <t>Monitor</t>
  </si>
  <si>
    <t>screenshot of your final dashboard.</t>
  </si>
  <si>
    <t>Q1.  PivotTable Creation:</t>
  </si>
  <si>
    <t>Create a PivotTable to summarize total revenue per region. Which region has the highest total revenue ?</t>
  </si>
  <si>
    <t>Grand Total</t>
  </si>
  <si>
    <t>Sum of Revenue</t>
  </si>
  <si>
    <t>Pivot Table has been created alongside.</t>
  </si>
  <si>
    <r>
      <t xml:space="preserve">North Region </t>
    </r>
    <r>
      <rPr>
        <sz val="11"/>
        <color theme="4"/>
        <rFont val="Aptos Narrow"/>
        <family val="2"/>
        <scheme val="minor"/>
      </rPr>
      <t xml:space="preserve"> has highest total revenue.</t>
    </r>
  </si>
  <si>
    <t>Q2.  Slicer Implementation:</t>
  </si>
  <si>
    <t>The Slicer has been created alongside.</t>
  </si>
  <si>
    <t>There are 4 Unique Salesperson in the dataset.</t>
  </si>
  <si>
    <t>Insert a timeline for the Date column. What is the total revenue for January 2024 ?</t>
  </si>
  <si>
    <t>Add a slicer for the Salesperson column. How many unique salespersons are in the dataset?</t>
  </si>
  <si>
    <r>
      <t xml:space="preserve">Total Revenue of January 2024 is </t>
    </r>
    <r>
      <rPr>
        <b/>
        <sz val="11"/>
        <color theme="4"/>
        <rFont val="Aptos Narrow"/>
        <family val="2"/>
        <scheme val="minor"/>
      </rPr>
      <t>124400</t>
    </r>
  </si>
  <si>
    <t>Timeline is given above</t>
  </si>
  <si>
    <t>Q3.  Timeline Usage:</t>
  </si>
  <si>
    <t>Q4.  PivotChart Analysis:</t>
  </si>
  <si>
    <t>Create a PivotChart for Revenue by Product. Which product generates the most revenue?</t>
  </si>
  <si>
    <t>Monitor generates the most</t>
  </si>
  <si>
    <r>
      <t xml:space="preserve">Revenue of </t>
    </r>
    <r>
      <rPr>
        <b/>
        <sz val="11"/>
        <color theme="4"/>
        <rFont val="Aptos Narrow"/>
        <family val="2"/>
        <scheme val="minor"/>
      </rPr>
      <t>36800</t>
    </r>
  </si>
  <si>
    <t>Q5.  Profitability Check:</t>
  </si>
  <si>
    <t>Using a PivotTable, find the salesperson with the highest total profit. Who is it?</t>
  </si>
  <si>
    <t>Sum of Profit</t>
  </si>
  <si>
    <r>
      <t xml:space="preserve">Adam Lee has highest profit of </t>
    </r>
    <r>
      <rPr>
        <b/>
        <sz val="11"/>
        <color theme="4"/>
        <rFont val="Aptos Narrow"/>
        <family val="2"/>
        <scheme val="minor"/>
      </rPr>
      <t>7100</t>
    </r>
  </si>
  <si>
    <t>Q6.  Discount Impact:</t>
  </si>
  <si>
    <t>Calculate the average discount applied per region using a PivotTable. Which region has the highest</t>
  </si>
  <si>
    <t>average discount?</t>
  </si>
  <si>
    <t>Average of Discount</t>
  </si>
  <si>
    <r>
      <t xml:space="preserve">South </t>
    </r>
    <r>
      <rPr>
        <sz val="11"/>
        <color theme="4"/>
        <rFont val="Aptos Narrow"/>
        <family val="2"/>
        <scheme val="minor"/>
      </rPr>
      <t>region has the highest average discount of 9%.</t>
    </r>
  </si>
  <si>
    <t>Q7.  Filtering with Slicers:</t>
  </si>
  <si>
    <t>Apply a slicer to filter sales by Product = Laptop. What is the total revenue from laptop sales?</t>
  </si>
  <si>
    <t>Apply conditional formatting to highlight sales where the Profit is below $1000. How many such sales are</t>
  </si>
  <si>
    <t>there?</t>
  </si>
  <si>
    <t>Q8.  Conditional Formatting:</t>
  </si>
  <si>
    <t>Conditional Formatting is applied in the Table. There are total 7 sales whose profit is less than 1000</t>
  </si>
  <si>
    <t>[ =COUNTIF(H2:H21,"&lt;1000") ]</t>
  </si>
  <si>
    <t xml:space="preserve">Q9.  Calculated Field:  </t>
  </si>
  <si>
    <t>margin in the dataset?</t>
  </si>
  <si>
    <r>
      <t>Create a Profit Margin % calculated field as</t>
    </r>
    <r>
      <rPr>
        <b/>
        <sz val="11"/>
        <color theme="5"/>
        <rFont val="Aptos Narrow"/>
        <family val="2"/>
        <scheme val="minor"/>
      </rPr>
      <t xml:space="preserve"> (Profit / Revenue) * 100</t>
    </r>
    <r>
      <rPr>
        <b/>
        <sz val="11"/>
        <color theme="1"/>
        <rFont val="Aptos Narrow"/>
        <family val="2"/>
        <scheme val="minor"/>
      </rPr>
      <t>. What is the highest profit?</t>
    </r>
  </si>
  <si>
    <t>[ =MAX(I2:I21) ]</t>
  </si>
  <si>
    <t>Highest Profit Margin is 22.22%</t>
  </si>
  <si>
    <t>Profit Margin %</t>
  </si>
  <si>
    <t>Q10. Dashboard Creation:</t>
  </si>
  <si>
    <t>Combine the PivotTables, PivotCharts, Slicers, and Timelines into a single interactive dashboard. Take a</t>
  </si>
  <si>
    <t>Pivot_table_01</t>
  </si>
  <si>
    <t>Pivot_table_02</t>
  </si>
  <si>
    <t>Pivot_table_03</t>
  </si>
  <si>
    <t>Sum of Units Sold</t>
  </si>
  <si>
    <t>Pivot_table_04</t>
  </si>
  <si>
    <t>Pivot_table_05</t>
  </si>
  <si>
    <t>Pivot_table_06</t>
  </si>
  <si>
    <t>KPI_Pivots</t>
  </si>
  <si>
    <t>Average of Profit Margin %</t>
  </si>
  <si>
    <t>Revenue by Region</t>
  </si>
  <si>
    <t>Revenue by Salesperson</t>
  </si>
  <si>
    <t>Units Sold by Product</t>
  </si>
  <si>
    <t>Monthly Revenue Trend</t>
  </si>
  <si>
    <t>Profit by Region</t>
  </si>
  <si>
    <t>Discount Analysis</t>
  </si>
  <si>
    <t>(single-value)</t>
  </si>
  <si>
    <t>Total revenue KPI</t>
  </si>
  <si>
    <t>Total Profit KPI</t>
  </si>
  <si>
    <t>Average Margin % KPI</t>
  </si>
  <si>
    <t>Total Discount</t>
  </si>
  <si>
    <t>Dashboard is designed in a new sheet named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</si>
</sst>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7\%"/>
  </numFmts>
  <fonts count="12" x14ac:knownFonts="1">
    <font>
      <sz val="11"/>
      <color theme="1"/>
      <name val="Aptos Narrow"/>
      <family val="2"/>
      <scheme val="minor"/>
    </font>
    <font>
      <b/>
      <sz val="11"/>
      <color theme="1"/>
      <name val="Aptos Narrow"/>
      <family val="2"/>
      <scheme val="minor"/>
    </font>
    <font>
      <sz val="11"/>
      <color theme="0"/>
      <name val="Aptos Narrow"/>
      <family val="2"/>
      <scheme val="minor"/>
    </font>
    <font>
      <b/>
      <sz val="10"/>
      <color theme="1"/>
      <name val="Arial"/>
      <family val="2"/>
    </font>
    <font>
      <sz val="10"/>
      <color theme="1"/>
      <name val="Arial"/>
      <family val="2"/>
    </font>
    <font>
      <b/>
      <sz val="12"/>
      <color theme="1"/>
      <name val="Aptos Narrow"/>
      <family val="2"/>
      <scheme val="minor"/>
    </font>
    <font>
      <sz val="11"/>
      <color theme="4"/>
      <name val="Aptos Narrow"/>
      <family val="2"/>
      <scheme val="minor"/>
    </font>
    <font>
      <b/>
      <sz val="11"/>
      <color theme="4"/>
      <name val="Aptos Narrow"/>
      <family val="2"/>
      <scheme val="minor"/>
    </font>
    <font>
      <b/>
      <sz val="11"/>
      <color rgb="FF000000"/>
      <name val="Aptos Narrow"/>
      <family val="2"/>
      <scheme val="minor"/>
    </font>
    <font>
      <b/>
      <sz val="11"/>
      <color theme="5"/>
      <name val="Aptos Narrow"/>
      <family val="2"/>
      <scheme val="minor"/>
    </font>
    <font>
      <b/>
      <sz val="16"/>
      <color theme="1"/>
      <name val="Aptos Narrow"/>
      <family val="2"/>
      <scheme val="minor"/>
    </font>
    <font>
      <i/>
      <sz val="11"/>
      <color theme="1"/>
      <name val="Aptos Narrow"/>
      <family val="2"/>
      <scheme val="minor"/>
    </font>
  </fonts>
  <fills count="10">
    <fill>
      <patternFill patternType="none"/>
    </fill>
    <fill>
      <patternFill patternType="gray125"/>
    </fill>
    <fill>
      <patternFill patternType="solid">
        <fgColor theme="5"/>
        <bgColor indexed="64"/>
      </patternFill>
    </fill>
    <fill>
      <patternFill patternType="solid">
        <fgColor theme="9"/>
        <bgColor indexed="64"/>
      </patternFill>
    </fill>
    <fill>
      <patternFill patternType="solid">
        <fgColor theme="4"/>
        <bgColor indexed="64"/>
      </patternFill>
    </fill>
    <fill>
      <patternFill patternType="solid">
        <fgColor theme="5"/>
        <bgColor theme="4"/>
      </patternFill>
    </fill>
    <fill>
      <patternFill patternType="solid">
        <fgColor theme="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4" tint="0.59999389629810485"/>
        <bgColor indexed="64"/>
      </patternFill>
    </fill>
  </fills>
  <borders count="2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s>
  <cellStyleXfs count="1">
    <xf numFmtId="0" fontId="0" fillId="0" borderId="0"/>
  </cellStyleXfs>
  <cellXfs count="67">
    <xf numFmtId="0" fontId="0" fillId="0" borderId="0" xfId="0"/>
    <xf numFmtId="0" fontId="4" fillId="0" borderId="0" xfId="0" applyFont="1" applyAlignment="1">
      <alignment horizontal="center" wrapText="1"/>
    </xf>
    <xf numFmtId="9" fontId="4" fillId="0" borderId="0" xfId="0" applyNumberFormat="1" applyFont="1" applyAlignment="1">
      <alignment horizontal="center" wrapText="1"/>
    </xf>
    <xf numFmtId="0" fontId="1" fillId="0" borderId="0" xfId="0" applyFont="1"/>
    <xf numFmtId="0" fontId="0" fillId="0" borderId="4" xfId="0" applyBorder="1" applyAlignment="1">
      <alignment horizontal="left"/>
    </xf>
    <xf numFmtId="0" fontId="0" fillId="0" borderId="7" xfId="0" applyBorder="1"/>
    <xf numFmtId="0" fontId="0" fillId="0" borderId="8" xfId="0" applyBorder="1"/>
    <xf numFmtId="0" fontId="0" fillId="3" borderId="1" xfId="0" applyFill="1" applyBorder="1"/>
    <xf numFmtId="0" fontId="0" fillId="0" borderId="1" xfId="0" applyBorder="1" applyAlignment="1">
      <alignment horizontal="left"/>
    </xf>
    <xf numFmtId="0" fontId="0" fillId="2" borderId="1" xfId="0" applyFill="1" applyBorder="1"/>
    <xf numFmtId="0" fontId="0" fillId="0" borderId="9" xfId="0" applyBorder="1"/>
    <xf numFmtId="0" fontId="0" fillId="0" borderId="7" xfId="0" applyBorder="1" applyAlignment="1">
      <alignment horizontal="left"/>
    </xf>
    <xf numFmtId="0" fontId="0" fillId="0" borderId="9" xfId="0" applyBorder="1" applyAlignment="1">
      <alignment horizontal="left"/>
    </xf>
    <xf numFmtId="0" fontId="0" fillId="0" borderId="8" xfId="0" applyBorder="1" applyAlignment="1">
      <alignment horizontal="left"/>
    </xf>
    <xf numFmtId="0" fontId="5" fillId="0" borderId="0" xfId="0" applyFont="1"/>
    <xf numFmtId="0" fontId="6" fillId="0" borderId="0" xfId="0" applyFont="1"/>
    <xf numFmtId="0" fontId="7" fillId="0" borderId="0" xfId="0" applyFont="1"/>
    <xf numFmtId="164" fontId="4" fillId="0" borderId="0" xfId="0" applyNumberFormat="1" applyFont="1" applyAlignment="1">
      <alignment horizontal="center" wrapText="1"/>
    </xf>
    <xf numFmtId="0" fontId="8" fillId="0" borderId="0" xfId="0" applyFont="1"/>
    <xf numFmtId="0" fontId="0" fillId="0" borderId="2" xfId="0" pivotButton="1" applyBorder="1"/>
    <xf numFmtId="164" fontId="0" fillId="0" borderId="4" xfId="0" applyNumberFormat="1" applyBorder="1" applyAlignment="1">
      <alignment horizontal="left"/>
    </xf>
    <xf numFmtId="164" fontId="0" fillId="0" borderId="1" xfId="0" applyNumberFormat="1" applyBorder="1" applyAlignment="1">
      <alignment horizontal="left"/>
    </xf>
    <xf numFmtId="0" fontId="6" fillId="0" borderId="2" xfId="0" applyFont="1" applyBorder="1"/>
    <xf numFmtId="0" fontId="0" fillId="0" borderId="3" xfId="0" applyBorder="1"/>
    <xf numFmtId="0" fontId="6" fillId="0" borderId="5" xfId="0" applyFont="1" applyBorder="1"/>
    <xf numFmtId="0" fontId="0" fillId="0" borderId="6" xfId="0" applyBorder="1"/>
    <xf numFmtId="0" fontId="2" fillId="4" borderId="1" xfId="0" applyFont="1" applyFill="1" applyBorder="1"/>
    <xf numFmtId="0" fontId="2" fillId="3" borderId="1" xfId="0" applyFont="1" applyFill="1" applyBorder="1"/>
    <xf numFmtId="0" fontId="6" fillId="0" borderId="10" xfId="0" applyFont="1" applyBorder="1"/>
    <xf numFmtId="0" fontId="0" fillId="0" borderId="11" xfId="0" applyBorder="1"/>
    <xf numFmtId="0" fontId="0" fillId="0" borderId="12" xfId="0" applyBorder="1"/>
    <xf numFmtId="9" fontId="0" fillId="0" borderId="7" xfId="0" applyNumberFormat="1" applyBorder="1"/>
    <xf numFmtId="9" fontId="0" fillId="0" borderId="9" xfId="0" applyNumberFormat="1" applyBorder="1"/>
    <xf numFmtId="9" fontId="0" fillId="0" borderId="8" xfId="0" applyNumberFormat="1" applyBorder="1"/>
    <xf numFmtId="0" fontId="7" fillId="0" borderId="10" xfId="0" applyFont="1" applyBorder="1"/>
    <xf numFmtId="0" fontId="2" fillId="3" borderId="2" xfId="0" applyFont="1" applyFill="1" applyBorder="1"/>
    <xf numFmtId="0" fontId="2" fillId="5" borderId="1" xfId="0" applyFont="1" applyFill="1" applyBorder="1"/>
    <xf numFmtId="2" fontId="0" fillId="0" borderId="0" xfId="0" applyNumberFormat="1"/>
    <xf numFmtId="0" fontId="0" fillId="0" borderId="0" xfId="0" pivotButton="1"/>
    <xf numFmtId="0" fontId="0" fillId="0" borderId="0" xfId="0" applyAlignment="1">
      <alignment horizontal="left"/>
    </xf>
    <xf numFmtId="0" fontId="3" fillId="6" borderId="0" xfId="0" applyFont="1" applyFill="1" applyAlignment="1">
      <alignment horizontal="center" vertical="center" wrapText="1"/>
    </xf>
    <xf numFmtId="164" fontId="0" fillId="0" borderId="0" xfId="0" applyNumberFormat="1" applyAlignment="1">
      <alignment horizontal="left"/>
    </xf>
    <xf numFmtId="9" fontId="0" fillId="0" borderId="0" xfId="0" applyNumberFormat="1"/>
    <xf numFmtId="0" fontId="0" fillId="7" borderId="0" xfId="0" applyFill="1"/>
    <xf numFmtId="0" fontId="0" fillId="7" borderId="13" xfId="0" applyFill="1" applyBorder="1"/>
    <xf numFmtId="0" fontId="0" fillId="7" borderId="14" xfId="0" applyFill="1" applyBorder="1"/>
    <xf numFmtId="0" fontId="0" fillId="7" borderId="15" xfId="0" applyFill="1" applyBorder="1"/>
    <xf numFmtId="0" fontId="0" fillId="7" borderId="16" xfId="0" applyFill="1" applyBorder="1"/>
    <xf numFmtId="0" fontId="0" fillId="7" borderId="17" xfId="0" applyFill="1" applyBorder="1"/>
    <xf numFmtId="0" fontId="0" fillId="7" borderId="18" xfId="0" applyFill="1" applyBorder="1"/>
    <xf numFmtId="0" fontId="0" fillId="7" borderId="19" xfId="0" applyFill="1" applyBorder="1"/>
    <xf numFmtId="0" fontId="0" fillId="7" borderId="20" xfId="0" applyFill="1" applyBorder="1"/>
    <xf numFmtId="165" fontId="0" fillId="0" borderId="0" xfId="0" applyNumberFormat="1"/>
    <xf numFmtId="0" fontId="11" fillId="7" borderId="17" xfId="0" applyFont="1" applyFill="1" applyBorder="1"/>
    <xf numFmtId="0" fontId="0" fillId="9" borderId="13" xfId="0" applyFill="1" applyBorder="1"/>
    <xf numFmtId="0" fontId="0" fillId="9" borderId="14" xfId="0" applyFill="1" applyBorder="1"/>
    <xf numFmtId="0" fontId="0" fillId="9" borderId="15" xfId="0" applyFill="1" applyBorder="1"/>
    <xf numFmtId="0" fontId="0" fillId="9" borderId="16" xfId="0" applyFill="1" applyBorder="1"/>
    <xf numFmtId="0" fontId="0" fillId="9" borderId="0" xfId="0" applyFill="1"/>
    <xf numFmtId="0" fontId="0" fillId="9" borderId="17" xfId="0" applyFill="1" applyBorder="1"/>
    <xf numFmtId="0" fontId="0" fillId="9" borderId="18" xfId="0" applyFill="1" applyBorder="1"/>
    <xf numFmtId="0" fontId="0" fillId="9" borderId="19" xfId="0" applyFill="1" applyBorder="1"/>
    <xf numFmtId="0" fontId="0" fillId="9" borderId="20" xfId="0" applyFill="1" applyBorder="1"/>
    <xf numFmtId="0" fontId="10" fillId="8" borderId="10" xfId="0" applyFont="1" applyFill="1" applyBorder="1" applyAlignment="1">
      <alignment horizontal="center"/>
    </xf>
    <xf numFmtId="0" fontId="10" fillId="8" borderId="11" xfId="0" applyFont="1" applyFill="1" applyBorder="1" applyAlignment="1">
      <alignment horizontal="center"/>
    </xf>
    <xf numFmtId="0" fontId="10" fillId="8" borderId="12" xfId="0" applyFont="1" applyFill="1" applyBorder="1" applyAlignment="1">
      <alignment horizontal="center"/>
    </xf>
    <xf numFmtId="0" fontId="0" fillId="0" borderId="0" xfId="0" applyNumberFormat="1"/>
  </cellXfs>
  <cellStyles count="1">
    <cellStyle name="Normal" xfId="0" builtinId="0"/>
  </cellStyles>
  <dxfs count="70">
    <dxf>
      <font>
        <color rgb="FF9C0006"/>
      </font>
      <fill>
        <patternFill>
          <bgColor rgb="FFFFC7CE"/>
        </patternFill>
      </fill>
    </dxf>
    <dxf>
      <numFmt numFmtId="2" formatCode="0.0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164" formatCode="[$-14009]dd/mm/yyyy;@"/>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theme="1"/>
        </patternFill>
      </fill>
      <alignment horizontal="center" vertical="center" textRotation="0" wrapText="1" indent="0" justifyLastLine="0" shrinkToFit="0" readingOrder="0"/>
    </dxf>
    <dxf>
      <font>
        <color theme="0"/>
      </font>
      <fill>
        <patternFill>
          <fgColor theme="4"/>
        </patternFill>
      </fill>
    </dxf>
    <dxf>
      <font>
        <color theme="0"/>
      </font>
      <fill>
        <patternFill patternType="solid">
          <fgColor indexed="64"/>
          <bgColor theme="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patternFill>
      </fill>
    </dxf>
    <dxf>
      <fill>
        <patternFill patternType="solid">
          <bgColor theme="5"/>
        </patternFill>
      </fill>
    </dxf>
    <dxf>
      <fill>
        <patternFill patternType="solid">
          <bgColor theme="9"/>
        </patternFill>
      </fill>
    </dxf>
    <dxf>
      <font>
        <color theme="0"/>
      </font>
    </dxf>
    <dxf>
      <font>
        <color theme="0"/>
      </font>
    </dxf>
    <dxf>
      <fill>
        <patternFill>
          <bgColor theme="4"/>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patternFill>
      </fill>
    </dxf>
    <dxf>
      <fill>
        <patternFill patternType="solid">
          <bgColor theme="5"/>
        </patternFill>
      </fill>
    </dxf>
    <dxf>
      <fill>
        <patternFill patternType="solid">
          <bgColor theme="9"/>
        </patternFill>
      </fill>
    </dxf>
    <dxf>
      <font>
        <color theme="0"/>
      </font>
      <fill>
        <patternFill>
          <fgColor theme="4"/>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patternFill>
      </fill>
    </dxf>
    <dxf>
      <fill>
        <patternFill patternType="solid">
          <bgColor theme="5"/>
        </patternFill>
      </fill>
    </dxf>
    <dxf>
      <fill>
        <patternFill patternType="solid">
          <bgColor theme="9"/>
        </patternFill>
      </fill>
    </dxf>
    <dxf>
      <font>
        <color theme="0"/>
      </font>
    </dxf>
    <dxf>
      <fill>
        <patternFill>
          <bgColor theme="4"/>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patternFill>
      </fill>
    </dxf>
    <dxf>
      <fill>
        <patternFill patternType="solid">
          <bgColor theme="5"/>
        </patternFill>
      </fill>
    </dxf>
    <dxf>
      <fill>
        <patternFill patternType="solid">
          <bgColor theme="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patternFill>
      </fill>
    </dxf>
    <dxf>
      <fill>
        <patternFill patternType="solid">
          <bgColor theme="5"/>
        </patternFill>
      </fill>
    </dxf>
    <dxf>
      <fill>
        <patternFill patternType="solid">
          <bgColor theme="9"/>
        </patternFill>
      </fill>
    </dxf>
    <dxf>
      <font>
        <color theme="0"/>
      </font>
      <fill>
        <patternFill>
          <fgColor theme="4"/>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patternFill>
      </fill>
    </dxf>
    <dxf>
      <fill>
        <patternFill patternType="solid">
          <bgColor theme="5"/>
        </patternFill>
      </fill>
    </dxf>
    <dxf>
      <fill>
        <patternFill patternType="solid">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1/relationships/timelineCache" Target="timelineCaches/timeline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[Sarthak's Advanced_Data_Visualization_Assignment_dpp.xlsx]Pivot_sheet!PivotTable1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Pivot_sheet!$F$6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Pivot_sheet!$E$7</c:f>
              <c:strCache>
                <c:ptCount val="1"/>
                <c:pt idx="0">
                  <c:v>Grand Total</c:v>
                </c:pt>
              </c:strCache>
            </c:strRef>
          </c:cat>
          <c:val>
            <c:numRef>
              <c:f>Pivot_sheet!$F$7</c:f>
              <c:numCache>
                <c:formatCode>General</c:formatCode>
                <c:ptCount val="1"/>
              </c:numCache>
            </c:numRef>
          </c:val>
          <c:extLst>
            <c:ext xmlns:c16="http://schemas.microsoft.com/office/drawing/2014/chart" uri="{C3380CC4-5D6E-409C-BE32-E72D297353CC}">
              <c16:uniqueId val="{00000000-755D-44CF-8715-C7326E7E4F9A}"/>
            </c:ext>
          </c:extLst>
        </c:ser>
        <c:dLbls>
          <c:dLblPos val="inEnd"/>
          <c:showLegendKey val="0"/>
          <c:showVal val="1"/>
          <c:showCatName val="0"/>
          <c:showSerName val="0"/>
          <c:showPercent val="0"/>
          <c:showBubbleSize val="0"/>
        </c:dLbls>
        <c:gapWidth val="65"/>
        <c:axId val="162142111"/>
        <c:axId val="162141631"/>
      </c:barChart>
      <c:catAx>
        <c:axId val="1621421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2141631"/>
        <c:crosses val="autoZero"/>
        <c:auto val="1"/>
        <c:lblAlgn val="ctr"/>
        <c:lblOffset val="100"/>
        <c:noMultiLvlLbl val="0"/>
      </c:catAx>
      <c:valAx>
        <c:axId val="1621416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214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[Sarthak's Advanced_Data_Visualization_Assignment_dpp.xlsx]Pivot_sheet!PivotTable2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Salesperson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Pivot_sheet!$F$14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Pivot_sheet!$E$15</c:f>
              <c:strCache>
                <c:ptCount val="1"/>
                <c:pt idx="0">
                  <c:v>Grand Total</c:v>
                </c:pt>
              </c:strCache>
            </c:strRef>
          </c:cat>
          <c:val>
            <c:numRef>
              <c:f>Pivot_sheet!$F$15</c:f>
              <c:numCache>
                <c:formatCode>General</c:formatCode>
                <c:ptCount val="1"/>
              </c:numCache>
            </c:numRef>
          </c:val>
          <c:extLst>
            <c:ext xmlns:c16="http://schemas.microsoft.com/office/drawing/2014/chart" uri="{C3380CC4-5D6E-409C-BE32-E72D297353CC}">
              <c16:uniqueId val="{00000000-A0B4-4308-88B5-493BA9E18CC2}"/>
            </c:ext>
          </c:extLst>
        </c:ser>
        <c:dLbls>
          <c:dLblPos val="inEnd"/>
          <c:showLegendKey val="0"/>
          <c:showVal val="1"/>
          <c:showCatName val="0"/>
          <c:showSerName val="0"/>
          <c:showPercent val="0"/>
          <c:showBubbleSize val="0"/>
        </c:dLbls>
        <c:gapWidth val="65"/>
        <c:axId val="1080891791"/>
        <c:axId val="1080891311"/>
      </c:barChart>
      <c:catAx>
        <c:axId val="10808917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80891311"/>
        <c:crosses val="autoZero"/>
        <c:auto val="1"/>
        <c:lblAlgn val="ctr"/>
        <c:lblOffset val="100"/>
        <c:noMultiLvlLbl val="0"/>
      </c:catAx>
      <c:valAx>
        <c:axId val="108089131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8089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[Sarthak's Advanced_Data_Visualization_Assignment_dpp.xlsx]Pivot_sheet!PivotTable3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Unit Sold By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Pivot_sheet!$F$22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Pivot_sheet!$E$23</c:f>
              <c:strCache>
                <c:ptCount val="1"/>
                <c:pt idx="0">
                  <c:v>Grand Total</c:v>
                </c:pt>
              </c:strCache>
            </c:strRef>
          </c:cat>
          <c:val>
            <c:numRef>
              <c:f>Pivot_sheet!$F$23</c:f>
              <c:numCache>
                <c:formatCode>General</c:formatCode>
                <c:ptCount val="1"/>
              </c:numCache>
            </c:numRef>
          </c:val>
          <c:extLst>
            <c:ext xmlns:c16="http://schemas.microsoft.com/office/drawing/2014/chart" uri="{C3380CC4-5D6E-409C-BE32-E72D297353CC}">
              <c16:uniqueId val="{00000000-5FB0-4980-9E35-1A702FC35A3C}"/>
            </c:ext>
          </c:extLst>
        </c:ser>
        <c:dLbls>
          <c:dLblPos val="inEnd"/>
          <c:showLegendKey val="0"/>
          <c:showVal val="1"/>
          <c:showCatName val="0"/>
          <c:showSerName val="0"/>
          <c:showPercent val="0"/>
          <c:showBubbleSize val="0"/>
        </c:dLbls>
        <c:gapWidth val="65"/>
        <c:axId val="1058434911"/>
        <c:axId val="1058431551"/>
      </c:barChart>
      <c:catAx>
        <c:axId val="105843491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8431551"/>
        <c:crosses val="autoZero"/>
        <c:auto val="1"/>
        <c:lblAlgn val="ctr"/>
        <c:lblOffset val="100"/>
        <c:noMultiLvlLbl val="0"/>
      </c:catAx>
      <c:valAx>
        <c:axId val="105843155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5843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[Sarthak's Advanced_Data_Visualization_Assignment_dpp.xlsx]Pivot_sheet!PivotTable4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Pivot_sheet!$F$30</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Pivot_sheet!$E$31</c:f>
              <c:strCache>
                <c:ptCount val="1"/>
                <c:pt idx="0">
                  <c:v>Grand Total</c:v>
                </c:pt>
              </c:strCache>
            </c:strRef>
          </c:cat>
          <c:val>
            <c:numRef>
              <c:f>Pivot_sheet!$F$31</c:f>
              <c:numCache>
                <c:formatCode>General</c:formatCode>
                <c:ptCount val="1"/>
              </c:numCache>
            </c:numRef>
          </c:val>
          <c:smooth val="0"/>
          <c:extLst>
            <c:ext xmlns:c16="http://schemas.microsoft.com/office/drawing/2014/chart" uri="{C3380CC4-5D6E-409C-BE32-E72D297353CC}">
              <c16:uniqueId val="{00000000-43DA-44AF-9B3B-3A2C97C81099}"/>
            </c:ext>
          </c:extLst>
        </c:ser>
        <c:dLbls>
          <c:dLblPos val="ctr"/>
          <c:showLegendKey val="0"/>
          <c:showVal val="1"/>
          <c:showCatName val="0"/>
          <c:showSerName val="0"/>
          <c:showPercent val="0"/>
          <c:showBubbleSize val="0"/>
        </c:dLbls>
        <c:marker val="1"/>
        <c:smooth val="0"/>
        <c:axId val="1063344831"/>
        <c:axId val="1063328511"/>
      </c:lineChart>
      <c:catAx>
        <c:axId val="10633448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63328511"/>
        <c:crosses val="autoZero"/>
        <c:auto val="1"/>
        <c:lblAlgn val="ctr"/>
        <c:lblOffset val="100"/>
        <c:noMultiLvlLbl val="0"/>
      </c:catAx>
      <c:valAx>
        <c:axId val="10633285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6334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[Sarthak's Advanced_Data_Visualization_Assignment_dpp.xlsx]Pivot_sheet!PivotTable5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Pivot_sheet!$F$54</c:f>
              <c:strCache>
                <c:ptCount val="1"/>
                <c:pt idx="0">
                  <c:v>Total</c:v>
                </c:pt>
              </c:strCache>
            </c:strRef>
          </c:tx>
          <c:spPr>
            <a:solidFill>
              <a:schemeClr val="accent2"/>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Pivot_sheet!$E$55</c:f>
              <c:strCache>
                <c:ptCount val="1"/>
                <c:pt idx="0">
                  <c:v>Grand Total</c:v>
                </c:pt>
              </c:strCache>
            </c:strRef>
          </c:cat>
          <c:val>
            <c:numRef>
              <c:f>Pivot_sheet!$F$55</c:f>
              <c:numCache>
                <c:formatCode>General</c:formatCode>
                <c:ptCount val="1"/>
              </c:numCache>
            </c:numRef>
          </c:val>
          <c:extLst>
            <c:ext xmlns:c16="http://schemas.microsoft.com/office/drawing/2014/chart" uri="{C3380CC4-5D6E-409C-BE32-E72D297353CC}">
              <c16:uniqueId val="{00000000-A56F-4BB7-91E6-16ED0A7EFF55}"/>
            </c:ext>
          </c:extLst>
        </c:ser>
        <c:dLbls>
          <c:dLblPos val="inEnd"/>
          <c:showLegendKey val="0"/>
          <c:showVal val="1"/>
          <c:showCatName val="0"/>
          <c:showSerName val="0"/>
          <c:showPercent val="0"/>
          <c:showBubbleSize val="0"/>
        </c:dLbls>
        <c:gapWidth val="65"/>
        <c:axId val="1085468255"/>
        <c:axId val="1085465855"/>
      </c:barChart>
      <c:catAx>
        <c:axId val="10854682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85465855"/>
        <c:crosses val="autoZero"/>
        <c:auto val="1"/>
        <c:lblAlgn val="ctr"/>
        <c:lblOffset val="100"/>
        <c:noMultiLvlLbl val="0"/>
      </c:catAx>
      <c:valAx>
        <c:axId val="10854658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8546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[Sarthak's Advanced_Data_Visualization_Assignment_dpp.xlsx]Pivot_sheet!PivotTable6</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Discount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alpha val="85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Pivot_sheet!$F$62</c:f>
              <c:strCache>
                <c:ptCount val="1"/>
                <c:pt idx="0">
                  <c:v>Average of Discount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Pivot_sheet!$E$63</c:f>
              <c:strCache>
                <c:ptCount val="1"/>
                <c:pt idx="0">
                  <c:v>Grand Total</c:v>
                </c:pt>
              </c:strCache>
            </c:strRef>
          </c:cat>
          <c:val>
            <c:numRef>
              <c:f>Pivot_sheet!$F$63</c:f>
              <c:numCache>
                <c:formatCode>0%</c:formatCode>
                <c:ptCount val="1"/>
              </c:numCache>
            </c:numRef>
          </c:val>
          <c:extLst>
            <c:ext xmlns:c16="http://schemas.microsoft.com/office/drawing/2014/chart" uri="{C3380CC4-5D6E-409C-BE32-E72D297353CC}">
              <c16:uniqueId val="{00000002-1A2C-473F-825E-DA704BC0BA06}"/>
            </c:ext>
          </c:extLst>
        </c:ser>
        <c:dLbls>
          <c:showLegendKey val="0"/>
          <c:showVal val="0"/>
          <c:showCatName val="0"/>
          <c:showSerName val="0"/>
          <c:showPercent val="0"/>
          <c:showBubbleSize val="0"/>
        </c:dLbls>
        <c:gapWidth val="65"/>
        <c:axId val="154568911"/>
        <c:axId val="154569391"/>
      </c:barChart>
      <c:lineChart>
        <c:grouping val="stacked"/>
        <c:varyColors val="0"/>
        <c:ser>
          <c:idx val="1"/>
          <c:order val="1"/>
          <c:tx>
            <c:strRef>
              <c:f>Pivot_sheet!$G$62</c:f>
              <c:strCache>
                <c:ptCount val="1"/>
                <c:pt idx="0">
                  <c:v>Total Discount</c:v>
                </c:pt>
              </c:strCache>
            </c:strRef>
          </c:tx>
          <c:spPr>
            <a:ln w="31750" cap="rnd">
              <a:solidFill>
                <a:schemeClr val="accent2">
                  <a:alpha val="85000"/>
                </a:schemeClr>
              </a:solidFill>
              <a:round/>
            </a:ln>
            <a:effectLst/>
          </c:spPr>
          <c:marker>
            <c:symbol val="circle"/>
            <c:size val="6"/>
            <c:spPr>
              <a:solidFill>
                <a:schemeClr val="accent2">
                  <a:alpha val="85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Pivot_sheet!$E$63</c:f>
              <c:strCache>
                <c:ptCount val="1"/>
                <c:pt idx="0">
                  <c:v>Grand Total</c:v>
                </c:pt>
              </c:strCache>
            </c:strRef>
          </c:cat>
          <c:val>
            <c:numRef>
              <c:f>Pivot_sheet!$G$63</c:f>
              <c:numCache>
                <c:formatCode>\7\%</c:formatCode>
                <c:ptCount val="1"/>
                <c:pt idx="0">
                  <c:v>#N/A</c:v>
                </c:pt>
              </c:numCache>
            </c:numRef>
          </c:val>
          <c:smooth val="0"/>
          <c:extLst>
            <c:ext xmlns:c16="http://schemas.microsoft.com/office/drawing/2014/chart" uri="{C3380CC4-5D6E-409C-BE32-E72D297353CC}">
              <c16:uniqueId val="{00000003-1A2C-473F-825E-DA704BC0BA06}"/>
            </c:ext>
          </c:extLst>
        </c:ser>
        <c:dLbls>
          <c:showLegendKey val="0"/>
          <c:showVal val="0"/>
          <c:showCatName val="0"/>
          <c:showSerName val="0"/>
          <c:showPercent val="0"/>
          <c:showBubbleSize val="0"/>
        </c:dLbls>
        <c:marker val="1"/>
        <c:smooth val="0"/>
        <c:axId val="154568911"/>
        <c:axId val="154569391"/>
      </c:lineChart>
      <c:catAx>
        <c:axId val="1545689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569391"/>
        <c:crosses val="autoZero"/>
        <c:auto val="1"/>
        <c:lblAlgn val="ctr"/>
        <c:lblOffset val="100"/>
        <c:noMultiLvlLbl val="0"/>
      </c:catAx>
      <c:valAx>
        <c:axId val="1545693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545689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[Sarthak's Advanced_Data_Visualization_Assignment_dpp.xlsx]Sheet1!PivotTable6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Sheet1!$V$6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Sheet1!$U$7:$U$11</c:f>
              <c:strCache>
                <c:ptCount val="4"/>
                <c:pt idx="0">
                  <c:v>Laptop</c:v>
                </c:pt>
                <c:pt idx="1">
                  <c:v>Tablet</c:v>
                </c:pt>
                <c:pt idx="2">
                  <c:v>Phone</c:v>
                </c:pt>
                <c:pt idx="3">
                  <c:v>Monitor</c:v>
                </c:pt>
              </c:strCache>
            </c:strRef>
          </c:cat>
          <c:val>
            <c:numRef>
              <c:f>Sheet1!$V$7:$V$11</c:f>
              <c:numCache>
                <c:formatCode>General</c:formatCode>
                <c:ptCount val="4"/>
                <c:pt idx="0">
                  <c:v>25000</c:v>
                </c:pt>
                <c:pt idx="1">
                  <c:v>26300</c:v>
                </c:pt>
                <c:pt idx="2">
                  <c:v>36300</c:v>
                </c:pt>
                <c:pt idx="3">
                  <c:v>36800</c:v>
                </c:pt>
              </c:numCache>
            </c:numRef>
          </c:val>
          <c:extLst>
            <c:ext xmlns:c16="http://schemas.microsoft.com/office/drawing/2014/chart" uri="{C3380CC4-5D6E-409C-BE32-E72D297353CC}">
              <c16:uniqueId val="{00000000-0F1B-4B6A-9893-C121AB055F4B}"/>
            </c:ext>
          </c:extLst>
        </c:ser>
        <c:dLbls>
          <c:showLegendKey val="0"/>
          <c:showVal val="0"/>
          <c:showCatName val="0"/>
          <c:showSerName val="0"/>
          <c:showPercent val="0"/>
          <c:showBubbleSize val="0"/>
        </c:dLbls>
        <c:gapWidth val="100"/>
        <c:overlap val="-24"/>
        <c:axId val="1950407744"/>
        <c:axId val="1950409664"/>
      </c:barChart>
      <c:catAx>
        <c:axId val="195040774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0409664"/>
        <c:crosses val="autoZero"/>
        <c:auto val="1"/>
        <c:lblAlgn val="ctr"/>
        <c:lblOffset val="100"/>
        <c:noMultiLvlLbl val="0"/>
      </c:catAx>
      <c:valAx>
        <c:axId val="19504096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040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16</xdr:col>
      <xdr:colOff>0</xdr:colOff>
      <xdr:row>5</xdr:row>
      <xdr:rowOff>173825</xdr:rowOff>
    </xdr:from>
    <xdr:to>
      <xdr:col>34</xdr:col>
      <xdr:colOff>0</xdr:colOff>
      <xdr:row>31</xdr:row>
      <xdr:rowOff>0</xdr:rowOff>
    </xdr:to>
    <xdr:grpSp>
      <xdr:nvGrpSpPr>
        <xdr:cNvPr id="24" name="Group 23">
          <a:extLst>
            <a:ext uri="{FF2B5EF4-FFF2-40B4-BE49-F238E27FC236}">
              <a16:creationId xmlns:a16="http://schemas.microsoft.com/office/drawing/2014/main" id="{BD70060E-4BC9-F4B8-B901-38039137A853}"/>
            </a:ext>
          </a:extLst>
        </xdr:cNvPr>
        <xdr:cNvGrpSpPr/>
      </xdr:nvGrpSpPr>
      <xdr:grpSpPr>
        <a:xfrm>
          <a:off x="9975273" y="1129789"/>
          <a:ext cx="11069782" cy="4550575"/>
          <a:chOff x="4536612" y="1083037"/>
          <a:chExt cx="9624465" cy="4375758"/>
        </a:xfrm>
      </xdr:grpSpPr>
      <xdr:grpSp>
        <xdr:nvGrpSpPr>
          <xdr:cNvPr id="9" name="Group 8">
            <a:extLst>
              <a:ext uri="{FF2B5EF4-FFF2-40B4-BE49-F238E27FC236}">
                <a16:creationId xmlns:a16="http://schemas.microsoft.com/office/drawing/2014/main" id="{8E246184-FB07-75CF-F696-FA9E95C33925}"/>
              </a:ext>
            </a:extLst>
          </xdr:cNvPr>
          <xdr:cNvGrpSpPr/>
        </xdr:nvGrpSpPr>
        <xdr:grpSpPr>
          <a:xfrm>
            <a:off x="4536612" y="1083037"/>
            <a:ext cx="9624465" cy="1231969"/>
            <a:chOff x="4533900" y="1078707"/>
            <a:chExt cx="9596268" cy="1156505"/>
          </a:xfrm>
          <a:solidFill>
            <a:schemeClr val="bg2"/>
          </a:solidFill>
        </xdr:grpSpPr>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60774CA5-883B-491F-851A-56C28198C9C4}"/>
                    </a:ext>
                  </a:extLst>
                </xdr:cNvPr>
                <xdr:cNvGraphicFramePr/>
              </xdr:nvGraphicFramePr>
              <xdr:xfrm>
                <a:off x="4533900" y="1078707"/>
                <a:ext cx="2026258" cy="115650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77500" y="1066796"/>
                  <a:ext cx="2451162" cy="1258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 name="Salesperson 1">
                  <a:extLst>
                    <a:ext uri="{FF2B5EF4-FFF2-40B4-BE49-F238E27FC236}">
                      <a16:creationId xmlns:a16="http://schemas.microsoft.com/office/drawing/2014/main" id="{75A96946-AB02-4A87-B250-A77F14438F00}"/>
                    </a:ext>
                  </a:extLst>
                </xdr:cNvPr>
                <xdr:cNvGraphicFramePr/>
              </xdr:nvGraphicFramePr>
              <xdr:xfrm>
                <a:off x="8182304" y="1085851"/>
                <a:ext cx="2162860" cy="1149356"/>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4890971" y="1074569"/>
                  <a:ext cx="2616410" cy="12506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89FD2A43-2880-4993-8446-00C6A953AD24}"/>
                    </a:ext>
                  </a:extLst>
                </xdr:cNvPr>
                <xdr:cNvGraphicFramePr/>
              </xdr:nvGraphicFramePr>
              <xdr:xfrm>
                <a:off x="11967308" y="1087517"/>
                <a:ext cx="2162860" cy="1147695"/>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9469686" y="1076382"/>
                  <a:ext cx="2616410" cy="12488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tsle="http://schemas.microsoft.com/office/drawing/2012/timeslicer">
        <mc:Choice Requires="tsle">
          <xdr:graphicFrame macro="">
            <xdr:nvGraphicFramePr>
              <xdr:cNvPr id="5" name="Date 1">
                <a:extLst>
                  <a:ext uri="{FF2B5EF4-FFF2-40B4-BE49-F238E27FC236}">
                    <a16:creationId xmlns:a16="http://schemas.microsoft.com/office/drawing/2014/main" id="{14B08519-9FEC-4332-868B-4857251752A8}"/>
                  </a:ext>
                </a:extLst>
              </xdr:cNvPr>
              <xdr:cNvGraphicFramePr/>
            </xdr:nvGraphicFramePr>
            <xdr:xfrm>
              <a:off x="4555549" y="2899065"/>
              <a:ext cx="9605528" cy="1364947"/>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500341" y="2921775"/>
                <a:ext cx="11585755" cy="139422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grpSp>
        <xdr:nvGrpSpPr>
          <xdr:cNvPr id="10" name="Group 9">
            <a:extLst>
              <a:ext uri="{FF2B5EF4-FFF2-40B4-BE49-F238E27FC236}">
                <a16:creationId xmlns:a16="http://schemas.microsoft.com/office/drawing/2014/main" id="{A3A47D0A-580C-3A87-783E-BF85DECBF5A9}"/>
              </a:ext>
            </a:extLst>
          </xdr:cNvPr>
          <xdr:cNvGrpSpPr/>
        </xdr:nvGrpSpPr>
        <xdr:grpSpPr>
          <a:xfrm>
            <a:off x="5123249" y="4758633"/>
            <a:ext cx="7953178" cy="700162"/>
            <a:chOff x="5090642" y="6362925"/>
            <a:chExt cx="7929773" cy="709612"/>
          </a:xfrm>
        </xdr:grpSpPr>
        <xdr:sp macro="" textlink="Pivot_sheet!E72">
          <xdr:nvSpPr>
            <xdr:cNvPr id="6" name="TextBox 5">
              <a:extLst>
                <a:ext uri="{FF2B5EF4-FFF2-40B4-BE49-F238E27FC236}">
                  <a16:creationId xmlns:a16="http://schemas.microsoft.com/office/drawing/2014/main" id="{A8935EEE-8950-BCBB-01C0-5144E9F4FE02}"/>
                </a:ext>
              </a:extLst>
            </xdr:cNvPr>
            <xdr:cNvSpPr txBox="1"/>
          </xdr:nvSpPr>
          <xdr:spPr>
            <a:xfrm>
              <a:off x="5090642" y="6362925"/>
              <a:ext cx="1441022" cy="7096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612C951-1F5B-4C26-9118-7AD1A1951A44}" type="TxLink">
                <a:rPr lang="en-US" sz="2400" b="1" i="0" u="none" strike="noStrike">
                  <a:solidFill>
                    <a:srgbClr val="000000"/>
                  </a:solidFill>
                  <a:latin typeface="Aptos Narrow"/>
                </a:rPr>
                <a:pPr algn="ctr"/>
                <a:t> </a:t>
              </a:fld>
              <a:endParaRPr lang="en-IN" sz="2400" b="1"/>
            </a:p>
          </xdr:txBody>
        </xdr:sp>
        <xdr:sp macro="" textlink="Pivot_sheet!F72">
          <xdr:nvSpPr>
            <xdr:cNvPr id="7" name="TextBox 6">
              <a:extLst>
                <a:ext uri="{FF2B5EF4-FFF2-40B4-BE49-F238E27FC236}">
                  <a16:creationId xmlns:a16="http://schemas.microsoft.com/office/drawing/2014/main" id="{C96CE746-A42E-03B3-CE4D-0F0ED93C24D2}"/>
                </a:ext>
              </a:extLst>
            </xdr:cNvPr>
            <xdr:cNvSpPr txBox="1"/>
          </xdr:nvSpPr>
          <xdr:spPr>
            <a:xfrm>
              <a:off x="8153852" y="6364213"/>
              <a:ext cx="1622187" cy="7083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17CC8141-D564-48CB-A2C8-7146201AE48A}" type="TxLink">
                <a:rPr lang="en-US" sz="2400" b="1" i="0" u="none" strike="noStrike">
                  <a:solidFill>
                    <a:srgbClr val="000000"/>
                  </a:solidFill>
                  <a:latin typeface="Aptos Narrow"/>
                  <a:ea typeface="+mn-ea"/>
                  <a:cs typeface="+mn-cs"/>
                </a:rPr>
                <a:pPr marL="0" indent="0" algn="ctr"/>
                <a:t> </a:t>
              </a:fld>
              <a:endParaRPr lang="en-US" sz="2400" b="1" i="0" u="none" strike="noStrike">
                <a:solidFill>
                  <a:srgbClr val="000000"/>
                </a:solidFill>
                <a:latin typeface="Aptos Narrow"/>
                <a:ea typeface="+mn-ea"/>
                <a:cs typeface="+mn-cs"/>
              </a:endParaRPr>
            </a:p>
          </xdr:txBody>
        </xdr:sp>
        <xdr:sp macro="" textlink="Pivot_sheet!G72">
          <xdr:nvSpPr>
            <xdr:cNvPr id="8" name="TextBox 7">
              <a:extLst>
                <a:ext uri="{FF2B5EF4-FFF2-40B4-BE49-F238E27FC236}">
                  <a16:creationId xmlns:a16="http://schemas.microsoft.com/office/drawing/2014/main" id="{8F7377E6-B7E7-0597-F03C-3E7D8735DDE2}"/>
                </a:ext>
              </a:extLst>
            </xdr:cNvPr>
            <xdr:cNvSpPr txBox="1"/>
          </xdr:nvSpPr>
          <xdr:spPr>
            <a:xfrm>
              <a:off x="11398227" y="6364212"/>
              <a:ext cx="1622188" cy="708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F7F92E3-F707-4C02-8F63-F7B9F1AB953F}" type="TxLink">
                <a:rPr lang="en-US" sz="2400" b="1" i="0" u="none" strike="noStrike">
                  <a:solidFill>
                    <a:srgbClr val="000000"/>
                  </a:solidFill>
                  <a:latin typeface="Aptos Narrow"/>
                </a:rPr>
                <a:pPr algn="ctr"/>
                <a:t> </a:t>
              </a:fld>
              <a:endParaRPr lang="en-IN" sz="2400" b="1"/>
            </a:p>
          </xdr:txBody>
        </xdr:sp>
      </xdr:grpSp>
    </xdr:grpSp>
    <xdr:clientData/>
  </xdr:twoCellAnchor>
  <xdr:twoCellAnchor>
    <xdr:from>
      <xdr:col>12</xdr:col>
      <xdr:colOff>0</xdr:colOff>
      <xdr:row>39</xdr:row>
      <xdr:rowOff>0</xdr:rowOff>
    </xdr:from>
    <xdr:to>
      <xdr:col>40</xdr:col>
      <xdr:colOff>0</xdr:colOff>
      <xdr:row>123</xdr:row>
      <xdr:rowOff>-1</xdr:rowOff>
    </xdr:to>
    <xdr:grpSp>
      <xdr:nvGrpSpPr>
        <xdr:cNvPr id="26" name="Group 25">
          <a:extLst>
            <a:ext uri="{FF2B5EF4-FFF2-40B4-BE49-F238E27FC236}">
              <a16:creationId xmlns:a16="http://schemas.microsoft.com/office/drawing/2014/main" id="{F4724DAE-BDCE-E2D5-630C-F315F71B42DE}"/>
            </a:ext>
          </a:extLst>
        </xdr:cNvPr>
        <xdr:cNvGrpSpPr/>
      </xdr:nvGrpSpPr>
      <xdr:grpSpPr>
        <a:xfrm>
          <a:off x="7481455" y="7245927"/>
          <a:ext cx="17304327" cy="15115308"/>
          <a:chOff x="649433" y="7187046"/>
          <a:chExt cx="17370136" cy="15257318"/>
        </a:xfrm>
      </xdr:grpSpPr>
      <xdr:grpSp>
        <xdr:nvGrpSpPr>
          <xdr:cNvPr id="18" name="Group 17">
            <a:extLst>
              <a:ext uri="{FF2B5EF4-FFF2-40B4-BE49-F238E27FC236}">
                <a16:creationId xmlns:a16="http://schemas.microsoft.com/office/drawing/2014/main" id="{D2926B59-8DF2-EB5A-ED4E-4D110FF6550B}"/>
              </a:ext>
            </a:extLst>
          </xdr:cNvPr>
          <xdr:cNvGrpSpPr/>
        </xdr:nvGrpSpPr>
        <xdr:grpSpPr>
          <a:xfrm>
            <a:off x="649433" y="7187046"/>
            <a:ext cx="17370136" cy="3818659"/>
            <a:chOff x="1943100" y="7172325"/>
            <a:chExt cx="15792451" cy="2743200"/>
          </a:xfrm>
        </xdr:grpSpPr>
        <xdr:graphicFrame macro="">
          <xdr:nvGraphicFramePr>
            <xdr:cNvPr id="12" name="Chart 11">
              <a:extLst>
                <a:ext uri="{FF2B5EF4-FFF2-40B4-BE49-F238E27FC236}">
                  <a16:creationId xmlns:a16="http://schemas.microsoft.com/office/drawing/2014/main" id="{7813DAF4-0DC4-4EDB-8F3D-E4D65B7D4DAF}"/>
                </a:ext>
              </a:extLst>
            </xdr:cNvPr>
            <xdr:cNvGraphicFramePr>
              <a:graphicFrameLocks/>
            </xdr:cNvGraphicFramePr>
          </xdr:nvGraphicFramePr>
          <xdr:xfrm>
            <a:off x="1943100" y="7172325"/>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3" name="Chart 12">
              <a:extLst>
                <a:ext uri="{FF2B5EF4-FFF2-40B4-BE49-F238E27FC236}">
                  <a16:creationId xmlns:a16="http://schemas.microsoft.com/office/drawing/2014/main" id="{84F1F4CD-602E-4882-A9B7-EACAAED92F2D}"/>
                </a:ext>
              </a:extLst>
            </xdr:cNvPr>
            <xdr:cNvGraphicFramePr>
              <a:graphicFrameLocks/>
            </xdr:cNvGraphicFramePr>
          </xdr:nvGraphicFramePr>
          <xdr:xfrm>
            <a:off x="7308116" y="7172325"/>
            <a:ext cx="5113425"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4" name="Chart 13">
              <a:extLst>
                <a:ext uri="{FF2B5EF4-FFF2-40B4-BE49-F238E27FC236}">
                  <a16:creationId xmlns:a16="http://schemas.microsoft.com/office/drawing/2014/main" id="{DDE71419-06EB-4B0E-A31B-D650C872B5DB}"/>
                </a:ext>
              </a:extLst>
            </xdr:cNvPr>
            <xdr:cNvGraphicFramePr>
              <a:graphicFrameLocks/>
            </xdr:cNvGraphicFramePr>
          </xdr:nvGraphicFramePr>
          <xdr:xfrm>
            <a:off x="13435013" y="7172325"/>
            <a:ext cx="4300538" cy="2743200"/>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19" name="Group 18">
            <a:extLst>
              <a:ext uri="{FF2B5EF4-FFF2-40B4-BE49-F238E27FC236}">
                <a16:creationId xmlns:a16="http://schemas.microsoft.com/office/drawing/2014/main" id="{4AFC236A-DEE1-75CC-1CF0-B9EC49B46EAC}"/>
              </a:ext>
            </a:extLst>
          </xdr:cNvPr>
          <xdr:cNvGrpSpPr/>
        </xdr:nvGrpSpPr>
        <xdr:grpSpPr>
          <a:xfrm>
            <a:off x="1584615" y="12313228"/>
            <a:ext cx="15136090" cy="4130387"/>
            <a:chOff x="374155" y="10784759"/>
            <a:chExt cx="13711036" cy="2666893"/>
          </a:xfrm>
        </xdr:grpSpPr>
        <xdr:graphicFrame macro="">
          <xdr:nvGraphicFramePr>
            <xdr:cNvPr id="15" name="Chart 14">
              <a:extLst>
                <a:ext uri="{FF2B5EF4-FFF2-40B4-BE49-F238E27FC236}">
                  <a16:creationId xmlns:a16="http://schemas.microsoft.com/office/drawing/2014/main" id="{AD7CFC8A-8AFE-4D81-95A4-F3B481DFFAE8}"/>
                </a:ext>
              </a:extLst>
            </xdr:cNvPr>
            <xdr:cNvGraphicFramePr>
              <a:graphicFrameLocks/>
            </xdr:cNvGraphicFramePr>
          </xdr:nvGraphicFramePr>
          <xdr:xfrm>
            <a:off x="374155" y="10791825"/>
            <a:ext cx="6339896" cy="265500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6" name="Chart 15">
              <a:extLst>
                <a:ext uri="{FF2B5EF4-FFF2-40B4-BE49-F238E27FC236}">
                  <a16:creationId xmlns:a16="http://schemas.microsoft.com/office/drawing/2014/main" id="{B64AA926-D1E8-4AA8-BC87-06F69E461B28}"/>
                </a:ext>
              </a:extLst>
            </xdr:cNvPr>
            <xdr:cNvGraphicFramePr>
              <a:graphicFrameLocks/>
            </xdr:cNvGraphicFramePr>
          </xdr:nvGraphicFramePr>
          <xdr:xfrm>
            <a:off x="8257526" y="10784759"/>
            <a:ext cx="5827665" cy="2666893"/>
          </xdr:xfrm>
          <a:graphic>
            <a:graphicData uri="http://schemas.openxmlformats.org/drawingml/2006/chart">
              <c:chart xmlns:c="http://schemas.openxmlformats.org/drawingml/2006/chart" xmlns:r="http://schemas.openxmlformats.org/officeDocument/2006/relationships" r:id="rId5"/>
            </a:graphicData>
          </a:graphic>
        </xdr:graphicFrame>
      </xdr:grpSp>
      <xdr:graphicFrame macro="">
        <xdr:nvGraphicFramePr>
          <xdr:cNvPr id="20" name="Chart 19">
            <a:extLst>
              <a:ext uri="{FF2B5EF4-FFF2-40B4-BE49-F238E27FC236}">
                <a16:creationId xmlns:a16="http://schemas.microsoft.com/office/drawing/2014/main" id="{560F9FB2-F482-4B65-908D-01EDF2F66413}"/>
              </a:ext>
            </a:extLst>
          </xdr:cNvPr>
          <xdr:cNvGraphicFramePr>
            <a:graphicFrameLocks/>
          </xdr:cNvGraphicFramePr>
        </xdr:nvGraphicFramePr>
        <xdr:xfrm>
          <a:off x="4546025" y="17352819"/>
          <a:ext cx="9091361" cy="5091545"/>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oneCellAnchor>
    <xdr:from>
      <xdr:col>23</xdr:col>
      <xdr:colOff>1</xdr:colOff>
      <xdr:row>0</xdr:row>
      <xdr:rowOff>158718</xdr:rowOff>
    </xdr:from>
    <xdr:ext cx="2585356" cy="530658"/>
    <xdr:sp macro="" textlink="">
      <xdr:nvSpPr>
        <xdr:cNvPr id="29" name="TextBox 28">
          <a:extLst>
            <a:ext uri="{FF2B5EF4-FFF2-40B4-BE49-F238E27FC236}">
              <a16:creationId xmlns:a16="http://schemas.microsoft.com/office/drawing/2014/main" id="{67849380-C417-C4BB-086D-A354062167F7}"/>
            </a:ext>
          </a:extLst>
        </xdr:cNvPr>
        <xdr:cNvSpPr txBox="1"/>
      </xdr:nvSpPr>
      <xdr:spPr>
        <a:xfrm>
          <a:off x="8239127" y="158718"/>
          <a:ext cx="2585356"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800" b="1"/>
            <a:t>DASHBOARD</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11</xdr:col>
      <xdr:colOff>14288</xdr:colOff>
      <xdr:row>17</xdr:row>
      <xdr:rowOff>23811</xdr:rowOff>
    </xdr:from>
    <xdr:to>
      <xdr:col>12</xdr:col>
      <xdr:colOff>879563</xdr:colOff>
      <xdr:row>23</xdr:row>
      <xdr:rowOff>159861</xdr:rowOff>
    </xdr:to>
    <mc:AlternateContent xmlns:mc="http://schemas.openxmlformats.org/markup-compatibility/2006" xmlns:a14="http://schemas.microsoft.com/office/drawing/2010/main">
      <mc:Choice Requires="a14">
        <xdr:graphicFrame macro="">
          <xdr:nvGraphicFramePr>
            <xdr:cNvPr id="3" name="Salesperson">
              <a:extLst>
                <a:ext uri="{FF2B5EF4-FFF2-40B4-BE49-F238E27FC236}">
                  <a16:creationId xmlns:a16="http://schemas.microsoft.com/office/drawing/2014/main" id="{B65707FB-434C-4E36-E202-95E266494EDB}"/>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8682038" y="3167061"/>
              <a:ext cx="1713000" cy="12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61912</xdr:colOff>
      <xdr:row>29</xdr:row>
      <xdr:rowOff>161925</xdr:rowOff>
    </xdr:from>
    <xdr:to>
      <xdr:col>17</xdr:col>
      <xdr:colOff>257174</xdr:colOff>
      <xdr:row>36</xdr:row>
      <xdr:rowOff>138112</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1F3BBC0C-0489-52D7-5F33-D39C5188A54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553700" y="5543550"/>
              <a:ext cx="2838450" cy="12763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22</xdr:col>
      <xdr:colOff>140493</xdr:colOff>
      <xdr:row>4</xdr:row>
      <xdr:rowOff>121443</xdr:rowOff>
    </xdr:from>
    <xdr:to>
      <xdr:col>29</xdr:col>
      <xdr:colOff>178593</xdr:colOff>
      <xdr:row>19</xdr:row>
      <xdr:rowOff>130968</xdr:rowOff>
    </xdr:to>
    <xdr:graphicFrame macro="">
      <xdr:nvGraphicFramePr>
        <xdr:cNvPr id="5" name="Chart 4">
          <a:extLst>
            <a:ext uri="{FF2B5EF4-FFF2-40B4-BE49-F238E27FC236}">
              <a16:creationId xmlns:a16="http://schemas.microsoft.com/office/drawing/2014/main" id="{74FEB224-866F-DCC0-75ED-65274849B0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23813</xdr:colOff>
      <xdr:row>52</xdr:row>
      <xdr:rowOff>14287</xdr:rowOff>
    </xdr:from>
    <xdr:to>
      <xdr:col>26</xdr:col>
      <xdr:colOff>60713</xdr:colOff>
      <xdr:row>56</xdr:row>
      <xdr:rowOff>142875</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4DF82654-B119-C4C0-5681-6BC04723DB9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7044988" y="9677400"/>
              <a:ext cx="1980000" cy="866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0</xdr:colOff>
      <xdr:row>25</xdr:row>
      <xdr:rowOff>0</xdr:rowOff>
    </xdr:from>
    <xdr:to>
      <xdr:col>48</xdr:col>
      <xdr:colOff>601786</xdr:colOff>
      <xdr:row>84</xdr:row>
      <xdr:rowOff>0</xdr:rowOff>
    </xdr:to>
    <xdr:pic>
      <xdr:nvPicPr>
        <xdr:cNvPr id="2" name="Picture 1">
          <a:extLst>
            <a:ext uri="{FF2B5EF4-FFF2-40B4-BE49-F238E27FC236}">
              <a16:creationId xmlns:a16="http://schemas.microsoft.com/office/drawing/2014/main" id="{0C78C094-34F8-0F83-A14B-FC967F7D25A3}"/>
            </a:ext>
          </a:extLst>
        </xdr:cNvPr>
        <xdr:cNvPicPr>
          <a:picLocks noChangeAspect="1"/>
        </xdr:cNvPicPr>
      </xdr:nvPicPr>
      <xdr:blipFill>
        <a:blip xmlns:r="http://schemas.openxmlformats.org/officeDocument/2006/relationships" r:embed="rId2"/>
        <a:stretch>
          <a:fillRect/>
        </a:stretch>
      </xdr:blipFill>
      <xdr:spPr>
        <a:xfrm>
          <a:off x="21912263" y="4648200"/>
          <a:ext cx="12260386" cy="108013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SH YADAV" refreshedDate="46007.607868055558" createdVersion="8" refreshedVersion="8" minRefreshableVersion="3" recordCount="20" xr:uid="{352A0A6B-57F0-47E5-9EA8-8D9313240E40}">
  <cacheSource type="worksheet">
    <worksheetSource ref="A1:H21" sheet="Sheet1"/>
  </cacheSource>
  <cacheFields count="8">
    <cacheField name="Date" numFmtId="164">
      <sharedItems containsSemiMixedTypes="0" containsNonDate="0" containsDate="1" containsString="0" minDate="2024-01-01T00:00:00" maxDate="2024-01-21T00:00:00" count="2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sharedItems>
    </cacheField>
    <cacheField name="Region" numFmtId="0">
      <sharedItems count="4">
        <s v="East"/>
        <s v="West"/>
        <s v="North"/>
        <s v="South"/>
      </sharedItems>
    </cacheField>
    <cacheField name="Salesperson" numFmtId="0">
      <sharedItems count="4">
        <s v="John Doe"/>
        <s v="Jane Smith"/>
        <s v="Adam Lee"/>
        <s v="Emily Clark"/>
      </sharedItems>
    </cacheField>
    <cacheField name="Product" numFmtId="0">
      <sharedItems count="4">
        <s v="Laptop"/>
        <s v="Phone"/>
        <s v="Tablet"/>
        <s v="Monitor"/>
      </sharedItems>
    </cacheField>
    <cacheField name="Units Sold" numFmtId="0">
      <sharedItems containsSemiMixedTypes="0" containsString="0" containsNumber="1" containsInteger="1" minValue="4" maxValue="15"/>
    </cacheField>
    <cacheField name="Revenue" numFmtId="0">
      <sharedItems containsSemiMixedTypes="0" containsString="0" containsNumber="1" containsInteger="1" minValue="2800" maxValue="10500"/>
    </cacheField>
    <cacheField name="Discount" numFmtId="9">
      <sharedItems containsSemiMixedTypes="0" containsString="0" containsNumber="1" minValue="0.03" maxValue="0.12"/>
    </cacheField>
    <cacheField name="Profit" numFmtId="0">
      <sharedItems containsSemiMixedTypes="0" containsString="0" containsNumber="1" containsInteger="1" minValue="400" maxValue="2200"/>
    </cacheField>
  </cacheFields>
  <extLst>
    <ext xmlns:x14="http://schemas.microsoft.com/office/spreadsheetml/2009/9/main" uri="{725AE2AE-9491-48be-B2B4-4EB974FC3084}">
      <x14:pivotCacheDefinition pivotCacheId="14938643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SH YADAV" refreshedDate="46007.693561458334" createdVersion="8" refreshedVersion="8" minRefreshableVersion="3" recordCount="20" xr:uid="{551AD72F-62E8-40F5-A35D-BD33A67AAE71}">
  <cacheSource type="worksheet">
    <worksheetSource name="Sales_data"/>
  </cacheSource>
  <cacheFields count="9">
    <cacheField name="Date" numFmtId="164">
      <sharedItems containsSemiMixedTypes="0" containsNonDate="0" containsDate="1" containsString="0" minDate="2024-01-01T00:00:00" maxDate="2024-01-21T00:00:00" count="2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sharedItems>
    </cacheField>
    <cacheField name="Region" numFmtId="0">
      <sharedItems count="4">
        <s v="East"/>
        <s v="West"/>
        <s v="North"/>
        <s v="South"/>
      </sharedItems>
    </cacheField>
    <cacheField name="Salesperson" numFmtId="0">
      <sharedItems count="4">
        <s v="John Doe"/>
        <s v="Jane Smith"/>
        <s v="Adam Lee"/>
        <s v="Emily Clark"/>
      </sharedItems>
    </cacheField>
    <cacheField name="Product" numFmtId="0">
      <sharedItems count="4">
        <s v="Laptop"/>
        <s v="Phone"/>
        <s v="Tablet"/>
        <s v="Monitor"/>
      </sharedItems>
    </cacheField>
    <cacheField name="Units Sold" numFmtId="0">
      <sharedItems containsSemiMixedTypes="0" containsString="0" containsNumber="1" containsInteger="1" minValue="4" maxValue="15" count="12">
        <n v="5"/>
        <n v="10"/>
        <n v="8"/>
        <n v="6"/>
        <n v="12"/>
        <n v="7"/>
        <n v="15"/>
        <n v="9"/>
        <n v="4"/>
        <n v="11"/>
        <n v="13"/>
        <n v="14"/>
      </sharedItems>
    </cacheField>
    <cacheField name="Revenue" numFmtId="0">
      <sharedItems containsSemiMixedTypes="0" containsString="0" containsNumber="1" containsInteger="1" minValue="2800" maxValue="10500"/>
    </cacheField>
    <cacheField name="Discount" numFmtId="9">
      <sharedItems containsSemiMixedTypes="0" containsString="0" containsNumber="1" minValue="0.03" maxValue="0.12"/>
    </cacheField>
    <cacheField name="Profit" numFmtId="0">
      <sharedItems containsSemiMixedTypes="0" containsString="0" containsNumber="1" containsInteger="1" minValue="400" maxValue="2200"/>
    </cacheField>
    <cacheField name="Profit Margin %" numFmtId="2">
      <sharedItems containsSemiMixedTypes="0" containsString="0" containsNumber="1" minValue="14.285714285714285" maxValue="22.222222222222221"/>
    </cacheField>
  </cacheFields>
  <extLst>
    <ext xmlns:x14="http://schemas.microsoft.com/office/spreadsheetml/2009/9/main" uri="{725AE2AE-9491-48be-B2B4-4EB974FC3084}">
      <x14:pivotCacheDefinition pivotCacheId="18993348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5"/>
    <n v="5000"/>
    <n v="0.1"/>
    <n v="1000"/>
  </r>
  <r>
    <x v="1"/>
    <x v="1"/>
    <x v="1"/>
    <x v="1"/>
    <n v="10"/>
    <n v="7000"/>
    <n v="0.05"/>
    <n v="1500"/>
  </r>
  <r>
    <x v="2"/>
    <x v="2"/>
    <x v="2"/>
    <x v="2"/>
    <n v="8"/>
    <n v="4000"/>
    <n v="0.08"/>
    <n v="800"/>
  </r>
  <r>
    <x v="3"/>
    <x v="3"/>
    <x v="3"/>
    <x v="3"/>
    <n v="6"/>
    <n v="3000"/>
    <n v="0.12"/>
    <n v="600"/>
  </r>
  <r>
    <x v="4"/>
    <x v="0"/>
    <x v="0"/>
    <x v="1"/>
    <n v="12"/>
    <n v="8400"/>
    <n v="7.0000000000000007E-2"/>
    <n v="1800"/>
  </r>
  <r>
    <x v="5"/>
    <x v="1"/>
    <x v="1"/>
    <x v="0"/>
    <n v="7"/>
    <n v="4900"/>
    <n v="0.06"/>
    <n v="900"/>
  </r>
  <r>
    <x v="6"/>
    <x v="2"/>
    <x v="2"/>
    <x v="3"/>
    <n v="15"/>
    <n v="10500"/>
    <n v="0.04"/>
    <n v="2100"/>
  </r>
  <r>
    <x v="7"/>
    <x v="3"/>
    <x v="3"/>
    <x v="2"/>
    <n v="9"/>
    <n v="6200"/>
    <n v="0.09"/>
    <n v="1200"/>
  </r>
  <r>
    <x v="8"/>
    <x v="0"/>
    <x v="0"/>
    <x v="0"/>
    <n v="4"/>
    <n v="2800"/>
    <n v="0.1"/>
    <n v="400"/>
  </r>
  <r>
    <x v="9"/>
    <x v="1"/>
    <x v="1"/>
    <x v="1"/>
    <n v="11"/>
    <n v="7700"/>
    <n v="0.03"/>
    <n v="1600"/>
  </r>
  <r>
    <x v="10"/>
    <x v="2"/>
    <x v="2"/>
    <x v="2"/>
    <n v="6"/>
    <n v="3600"/>
    <n v="0.05"/>
    <n v="700"/>
  </r>
  <r>
    <x v="11"/>
    <x v="3"/>
    <x v="3"/>
    <x v="3"/>
    <n v="13"/>
    <n v="9100"/>
    <n v="7.0000000000000007E-2"/>
    <n v="1900"/>
  </r>
  <r>
    <x v="12"/>
    <x v="0"/>
    <x v="0"/>
    <x v="1"/>
    <n v="10"/>
    <n v="8000"/>
    <n v="0.06"/>
    <n v="1500"/>
  </r>
  <r>
    <x v="13"/>
    <x v="1"/>
    <x v="1"/>
    <x v="0"/>
    <n v="8"/>
    <n v="4800"/>
    <n v="0.08"/>
    <n v="900"/>
  </r>
  <r>
    <x v="14"/>
    <x v="2"/>
    <x v="2"/>
    <x v="3"/>
    <n v="14"/>
    <n v="9900"/>
    <n v="0.04"/>
    <n v="2200"/>
  </r>
  <r>
    <x v="15"/>
    <x v="3"/>
    <x v="3"/>
    <x v="2"/>
    <n v="9"/>
    <n v="5700"/>
    <n v="0.11"/>
    <n v="1100"/>
  </r>
  <r>
    <x v="16"/>
    <x v="0"/>
    <x v="0"/>
    <x v="0"/>
    <n v="12"/>
    <n v="7500"/>
    <n v="0.09"/>
    <n v="1400"/>
  </r>
  <r>
    <x v="17"/>
    <x v="1"/>
    <x v="1"/>
    <x v="1"/>
    <n v="7"/>
    <n v="5200"/>
    <n v="0.06"/>
    <n v="1000"/>
  </r>
  <r>
    <x v="18"/>
    <x v="2"/>
    <x v="2"/>
    <x v="2"/>
    <n v="11"/>
    <n v="6800"/>
    <n v="0.05"/>
    <n v="1300"/>
  </r>
  <r>
    <x v="19"/>
    <x v="3"/>
    <x v="3"/>
    <x v="3"/>
    <n v="5"/>
    <n v="4300"/>
    <n v="7.0000000000000007E-2"/>
    <n v="8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x v="0"/>
    <n v="5000"/>
    <n v="0.1"/>
    <n v="1000"/>
    <n v="20"/>
  </r>
  <r>
    <x v="1"/>
    <x v="1"/>
    <x v="1"/>
    <x v="1"/>
    <x v="1"/>
    <n v="7000"/>
    <n v="0.05"/>
    <n v="1500"/>
    <n v="21.428571428571427"/>
  </r>
  <r>
    <x v="2"/>
    <x v="2"/>
    <x v="2"/>
    <x v="2"/>
    <x v="2"/>
    <n v="4000"/>
    <n v="0.08"/>
    <n v="800"/>
    <n v="20"/>
  </r>
  <r>
    <x v="3"/>
    <x v="3"/>
    <x v="3"/>
    <x v="3"/>
    <x v="3"/>
    <n v="3000"/>
    <n v="0.12"/>
    <n v="600"/>
    <n v="20"/>
  </r>
  <r>
    <x v="4"/>
    <x v="0"/>
    <x v="0"/>
    <x v="1"/>
    <x v="4"/>
    <n v="8400"/>
    <n v="7.0000000000000007E-2"/>
    <n v="1800"/>
    <n v="21.428571428571427"/>
  </r>
  <r>
    <x v="5"/>
    <x v="1"/>
    <x v="1"/>
    <x v="0"/>
    <x v="5"/>
    <n v="4900"/>
    <n v="0.06"/>
    <n v="900"/>
    <n v="18.367346938775512"/>
  </r>
  <r>
    <x v="6"/>
    <x v="2"/>
    <x v="2"/>
    <x v="3"/>
    <x v="6"/>
    <n v="10500"/>
    <n v="0.04"/>
    <n v="2100"/>
    <n v="20"/>
  </r>
  <r>
    <x v="7"/>
    <x v="3"/>
    <x v="3"/>
    <x v="2"/>
    <x v="7"/>
    <n v="6200"/>
    <n v="0.09"/>
    <n v="1200"/>
    <n v="19.35483870967742"/>
  </r>
  <r>
    <x v="8"/>
    <x v="0"/>
    <x v="0"/>
    <x v="0"/>
    <x v="8"/>
    <n v="2800"/>
    <n v="0.1"/>
    <n v="400"/>
    <n v="14.285714285714285"/>
  </r>
  <r>
    <x v="9"/>
    <x v="1"/>
    <x v="1"/>
    <x v="1"/>
    <x v="9"/>
    <n v="7700"/>
    <n v="0.03"/>
    <n v="1600"/>
    <n v="20.779220779220779"/>
  </r>
  <r>
    <x v="10"/>
    <x v="2"/>
    <x v="2"/>
    <x v="2"/>
    <x v="3"/>
    <n v="3600"/>
    <n v="0.05"/>
    <n v="700"/>
    <n v="19.444444444444446"/>
  </r>
  <r>
    <x v="11"/>
    <x v="3"/>
    <x v="3"/>
    <x v="3"/>
    <x v="10"/>
    <n v="9100"/>
    <n v="7.0000000000000007E-2"/>
    <n v="1900"/>
    <n v="20.87912087912088"/>
  </r>
  <r>
    <x v="12"/>
    <x v="0"/>
    <x v="0"/>
    <x v="1"/>
    <x v="1"/>
    <n v="8000"/>
    <n v="0.06"/>
    <n v="1500"/>
    <n v="18.75"/>
  </r>
  <r>
    <x v="13"/>
    <x v="1"/>
    <x v="1"/>
    <x v="0"/>
    <x v="2"/>
    <n v="4800"/>
    <n v="0.08"/>
    <n v="900"/>
    <n v="18.75"/>
  </r>
  <r>
    <x v="14"/>
    <x v="2"/>
    <x v="2"/>
    <x v="3"/>
    <x v="11"/>
    <n v="9900"/>
    <n v="0.04"/>
    <n v="2200"/>
    <n v="22.222222222222221"/>
  </r>
  <r>
    <x v="15"/>
    <x v="3"/>
    <x v="3"/>
    <x v="2"/>
    <x v="7"/>
    <n v="5700"/>
    <n v="0.11"/>
    <n v="1100"/>
    <n v="19.298245614035086"/>
  </r>
  <r>
    <x v="16"/>
    <x v="0"/>
    <x v="0"/>
    <x v="0"/>
    <x v="4"/>
    <n v="7500"/>
    <n v="0.09"/>
    <n v="1400"/>
    <n v="18.666666666666668"/>
  </r>
  <r>
    <x v="17"/>
    <x v="1"/>
    <x v="1"/>
    <x v="1"/>
    <x v="5"/>
    <n v="5200"/>
    <n v="0.06"/>
    <n v="1000"/>
    <n v="19.230769230769234"/>
  </r>
  <r>
    <x v="18"/>
    <x v="2"/>
    <x v="2"/>
    <x v="2"/>
    <x v="9"/>
    <n v="6800"/>
    <n v="0.05"/>
    <n v="1300"/>
    <n v="19.117647058823529"/>
  </r>
  <r>
    <x v="19"/>
    <x v="3"/>
    <x v="3"/>
    <x v="3"/>
    <x v="0"/>
    <n v="4300"/>
    <n v="7.0000000000000007E-2"/>
    <n v="850"/>
    <n v="19.7674418604651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FD1FF2-F1BB-4F34-855F-AC791FE08ACA}"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Region">
  <location ref="E6:F7" firstHeaderRow="1"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h="1" x="0"/>
        <item h="1" x="2"/>
        <item x="3"/>
        <item h="1" x="1"/>
        <item t="default"/>
      </items>
    </pivotField>
    <pivotField showAll="0">
      <items count="5">
        <item x="2"/>
        <item h="1" x="3"/>
        <item h="1" x="1"/>
        <item h="1" x="0"/>
        <item t="default"/>
      </items>
    </pivotField>
    <pivotField showAll="0">
      <items count="5">
        <item x="0"/>
        <item x="3"/>
        <item x="1"/>
        <item x="2"/>
        <item t="default"/>
      </items>
    </pivotField>
    <pivotField showAll="0"/>
    <pivotField dataField="1" showAll="0"/>
    <pivotField numFmtId="9" showAll="0"/>
    <pivotField showAll="0"/>
    <pivotField numFmtId="2" showAll="0"/>
  </pivotFields>
  <rowFields count="1">
    <field x="1"/>
  </rowFields>
  <rowItems count="1">
    <i t="grand">
      <x/>
    </i>
  </rowItems>
  <colItems count="1">
    <i/>
  </colItems>
  <dataFields count="1">
    <dataField name="Sum of Revenue" fld="5" baseField="0"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354BA4-4C0C-4963-B475-DE6FE57E4DE0}"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Region">
  <location ref="E54:F55" firstHeaderRow="1"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h="1" x="0"/>
        <item h="1" x="2"/>
        <item x="3"/>
        <item h="1" x="1"/>
        <item t="default"/>
      </items>
    </pivotField>
    <pivotField showAll="0">
      <items count="5">
        <item x="2"/>
        <item h="1" x="3"/>
        <item h="1" x="1"/>
        <item h="1" x="0"/>
        <item t="default"/>
      </items>
    </pivotField>
    <pivotField showAll="0">
      <items count="5">
        <item x="0"/>
        <item x="3"/>
        <item x="1"/>
        <item x="2"/>
        <item t="default"/>
      </items>
    </pivotField>
    <pivotField showAll="0">
      <items count="13">
        <item x="8"/>
        <item x="0"/>
        <item x="3"/>
        <item x="5"/>
        <item x="2"/>
        <item x="7"/>
        <item x="1"/>
        <item x="9"/>
        <item x="4"/>
        <item x="10"/>
        <item x="11"/>
        <item x="6"/>
        <item t="default"/>
      </items>
    </pivotField>
    <pivotField showAll="0"/>
    <pivotField numFmtId="9" showAll="0"/>
    <pivotField dataField="1" showAll="0"/>
    <pivotField numFmtId="2" showAll="0"/>
  </pivotFields>
  <rowFields count="1">
    <field x="1"/>
  </rowFields>
  <rowItems count="1">
    <i t="grand">
      <x/>
    </i>
  </rowItems>
  <colItems count="1">
    <i/>
  </colItems>
  <dataFields count="1">
    <dataField name="Sum of Profit" fld="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611C27-6B85-421A-8BF3-12A0DAEE68F0}"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Product">
  <location ref="E22:F23" firstHeaderRow="1"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showAll="0">
      <items count="5">
        <item h="1" x="0"/>
        <item h="1" x="2"/>
        <item x="3"/>
        <item h="1" x="1"/>
        <item t="default"/>
      </items>
    </pivotField>
    <pivotField showAll="0">
      <items count="5">
        <item x="2"/>
        <item h="1" x="3"/>
        <item h="1" x="1"/>
        <item h="1" x="0"/>
        <item t="default"/>
      </items>
    </pivotField>
    <pivotField axis="axisRow" showAll="0">
      <items count="5">
        <item x="0"/>
        <item x="3"/>
        <item x="1"/>
        <item x="2"/>
        <item t="default"/>
      </items>
    </pivotField>
    <pivotField dataField="1" showAll="0">
      <items count="13">
        <item x="8"/>
        <item x="0"/>
        <item x="3"/>
        <item x="5"/>
        <item x="2"/>
        <item x="7"/>
        <item x="1"/>
        <item x="9"/>
        <item x="4"/>
        <item x="10"/>
        <item x="11"/>
        <item x="6"/>
        <item t="default"/>
      </items>
    </pivotField>
    <pivotField showAll="0"/>
    <pivotField numFmtId="9" showAll="0"/>
    <pivotField showAll="0"/>
    <pivotField numFmtId="2" showAll="0"/>
  </pivotFields>
  <rowFields count="1">
    <field x="3"/>
  </rowFields>
  <rowItems count="1">
    <i t="grand">
      <x/>
    </i>
  </rowItems>
  <colItems count="1">
    <i/>
  </colItems>
  <dataFields count="1">
    <dataField name="Sum of Units Sold" fld="4"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E2A121-3500-41A9-B4C3-E74B3D6B8B2C}"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Salesperson">
  <location ref="E14:F15" firstHeaderRow="1"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showAll="0">
      <items count="5">
        <item h="1" x="0"/>
        <item h="1" x="2"/>
        <item x="3"/>
        <item h="1" x="1"/>
        <item t="default"/>
      </items>
    </pivotField>
    <pivotField axis="axisRow" showAll="0">
      <items count="5">
        <item x="2"/>
        <item h="1" x="3"/>
        <item h="1" x="1"/>
        <item h="1" x="0"/>
        <item t="default"/>
      </items>
    </pivotField>
    <pivotField showAll="0">
      <items count="5">
        <item x="0"/>
        <item x="3"/>
        <item x="1"/>
        <item x="2"/>
        <item t="default"/>
      </items>
    </pivotField>
    <pivotField showAll="0"/>
    <pivotField dataField="1" showAll="0"/>
    <pivotField numFmtId="9" showAll="0"/>
    <pivotField showAll="0"/>
    <pivotField numFmtId="2" showAll="0"/>
  </pivotFields>
  <rowFields count="1">
    <field x="2"/>
  </rowFields>
  <rowItems count="1">
    <i t="grand">
      <x/>
    </i>
  </rowItems>
  <colItems count="1">
    <i/>
  </colItems>
  <dataFields count="1">
    <dataField name="Sum of Revenue"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5C41CE-2724-42A6-AC24-7300FDB3C8B3}"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Date">
  <location ref="E30:F31" firstHeaderRow="1" firstDataRow="1" firstDataCol="1"/>
  <pivotFields count="9">
    <pivotField axis="axisRow" numFmtId="164" showAll="0" sortType="ascending">
      <items count="21">
        <item x="0"/>
        <item x="1"/>
        <item x="2"/>
        <item x="3"/>
        <item x="4"/>
        <item x="5"/>
        <item x="6"/>
        <item x="7"/>
        <item x="8"/>
        <item x="9"/>
        <item x="10"/>
        <item x="11"/>
        <item x="12"/>
        <item x="13"/>
        <item x="14"/>
        <item x="15"/>
        <item x="16"/>
        <item x="17"/>
        <item x="18"/>
        <item x="19"/>
        <item t="default"/>
      </items>
      <autoSortScope>
        <pivotArea dataOnly="0" outline="0" fieldPosition="0">
          <references count="1">
            <reference field="4294967294" count="1" selected="0">
              <x v="0"/>
            </reference>
          </references>
        </pivotArea>
      </autoSortScope>
    </pivotField>
    <pivotField showAll="0">
      <items count="5">
        <item h="1" x="0"/>
        <item h="1" x="2"/>
        <item x="3"/>
        <item h="1" x="1"/>
        <item t="default"/>
      </items>
    </pivotField>
    <pivotField showAll="0">
      <items count="5">
        <item x="2"/>
        <item h="1" x="3"/>
        <item h="1" x="1"/>
        <item h="1" x="0"/>
        <item t="default"/>
      </items>
    </pivotField>
    <pivotField showAll="0">
      <items count="5">
        <item x="0"/>
        <item x="3"/>
        <item x="1"/>
        <item x="2"/>
        <item t="default"/>
      </items>
    </pivotField>
    <pivotField showAll="0">
      <items count="13">
        <item x="8"/>
        <item x="0"/>
        <item x="3"/>
        <item x="5"/>
        <item x="2"/>
        <item x="7"/>
        <item x="1"/>
        <item x="9"/>
        <item x="4"/>
        <item x="10"/>
        <item x="11"/>
        <item x="6"/>
        <item t="default"/>
      </items>
    </pivotField>
    <pivotField dataField="1" showAll="0"/>
    <pivotField numFmtId="9" showAll="0"/>
    <pivotField showAll="0"/>
    <pivotField numFmtId="2" showAll="0"/>
  </pivotFields>
  <rowFields count="1">
    <field x="0"/>
  </rowFields>
  <rowItems count="1">
    <i t="grand">
      <x/>
    </i>
  </rowItems>
  <colItems count="1">
    <i/>
  </colItems>
  <dataFields count="1">
    <dataField name="Sum of Revenue"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BE33DF-F0FF-44BF-B2F4-04935BC6AAFE}"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egion">
  <location ref="E71:G72" firstHeaderRow="0" firstDataRow="1" firstDataCol="0"/>
  <pivotFields count="9">
    <pivotField numFmtId="164" showAll="0">
      <items count="21">
        <item x="0"/>
        <item x="1"/>
        <item x="2"/>
        <item x="3"/>
        <item x="4"/>
        <item x="5"/>
        <item x="6"/>
        <item x="7"/>
        <item x="8"/>
        <item x="9"/>
        <item x="10"/>
        <item x="11"/>
        <item x="12"/>
        <item x="13"/>
        <item x="14"/>
        <item x="15"/>
        <item x="16"/>
        <item x="17"/>
        <item x="18"/>
        <item x="19"/>
        <item t="default"/>
      </items>
    </pivotField>
    <pivotField showAll="0">
      <items count="5">
        <item h="1" x="0"/>
        <item h="1" x="2"/>
        <item x="3"/>
        <item h="1" x="1"/>
        <item t="default"/>
      </items>
    </pivotField>
    <pivotField showAll="0">
      <items count="5">
        <item x="2"/>
        <item h="1" x="3"/>
        <item h="1" x="1"/>
        <item h="1" x="0"/>
        <item t="default"/>
      </items>
    </pivotField>
    <pivotField showAll="0">
      <items count="5">
        <item x="0"/>
        <item x="3"/>
        <item x="1"/>
        <item x="2"/>
        <item t="default"/>
      </items>
    </pivotField>
    <pivotField showAll="0">
      <items count="13">
        <item x="8"/>
        <item x="0"/>
        <item x="3"/>
        <item x="5"/>
        <item x="2"/>
        <item x="7"/>
        <item x="1"/>
        <item x="9"/>
        <item x="4"/>
        <item x="10"/>
        <item x="11"/>
        <item x="6"/>
        <item t="default"/>
      </items>
    </pivotField>
    <pivotField dataField="1" showAll="0"/>
    <pivotField numFmtId="9" showAll="0"/>
    <pivotField dataField="1" showAll="0"/>
    <pivotField dataField="1" numFmtId="2" showAll="0"/>
  </pivotFields>
  <rowItems count="1">
    <i/>
  </rowItems>
  <colFields count="1">
    <field x="-2"/>
  </colFields>
  <colItems count="3">
    <i>
      <x/>
    </i>
    <i i="1">
      <x v="1"/>
    </i>
    <i i="2">
      <x v="2"/>
    </i>
  </colItems>
  <dataFields count="3">
    <dataField name="Sum of Revenue" fld="5" baseField="0" baseItem="0"/>
    <dataField name="Sum of Profit" fld="7" baseField="0" baseItem="0"/>
    <dataField name="Average of Profit Margin %" fld="8" subtotal="average" baseField="0" baseItem="1" numFmtId="2"/>
  </dataField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B29DE9-A83D-4DFD-B5B1-C2D8C74F8D22}"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rowHeaderCaption="Region">
  <location ref="E62:G63" firstHeaderRow="0"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h="1" x="0"/>
        <item h="1" x="2"/>
        <item x="3"/>
        <item h="1" x="1"/>
        <item t="default"/>
      </items>
    </pivotField>
    <pivotField showAll="0">
      <items count="5">
        <item x="2"/>
        <item h="1" x="3"/>
        <item h="1" x="1"/>
        <item h="1" x="0"/>
        <item t="default"/>
      </items>
    </pivotField>
    <pivotField showAll="0">
      <items count="5">
        <item x="0"/>
        <item x="3"/>
        <item x="1"/>
        <item x="2"/>
        <item t="default"/>
      </items>
    </pivotField>
    <pivotField showAll="0">
      <items count="13">
        <item x="8"/>
        <item x="0"/>
        <item x="3"/>
        <item x="5"/>
        <item x="2"/>
        <item x="7"/>
        <item x="1"/>
        <item x="9"/>
        <item x="4"/>
        <item x="10"/>
        <item x="11"/>
        <item x="6"/>
        <item t="default"/>
      </items>
    </pivotField>
    <pivotField showAll="0"/>
    <pivotField dataField="1" numFmtId="9" showAll="0"/>
    <pivotField showAll="0"/>
    <pivotField numFmtId="2" showAll="0"/>
  </pivotFields>
  <rowFields count="1">
    <field x="1"/>
  </rowFields>
  <rowItems count="1">
    <i t="grand">
      <x/>
    </i>
  </rowItems>
  <colFields count="1">
    <field x="-2"/>
  </colFields>
  <colItems count="2">
    <i>
      <x/>
    </i>
    <i i="1">
      <x v="1"/>
    </i>
  </colItems>
  <dataFields count="2">
    <dataField name="Average of Discount" fld="6" subtotal="average" baseField="1" baseItem="0" numFmtId="9"/>
    <dataField name="Total Discount" fld="6" subtotal="average" showDataAs="percentOfTotal" baseField="1" baseItem="0" numFmtId="165"/>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380CCF-D6F7-4912-B44B-9CE583FFD00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egion">
  <location ref="L31:M52" firstHeaderRow="1" firstDataRow="1" firstDataCol="1"/>
  <pivotFields count="8">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pivotField dataField="1" showAll="0"/>
    <pivotField numFmtId="9"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Revenue" fld="5" baseField="0" baseItem="0"/>
  </dataFields>
  <formats count="10">
    <format dxfId="21">
      <pivotArea field="1" type="button" dataOnly="0" labelOnly="1" outline="0"/>
    </format>
    <format dxfId="20">
      <pivotArea dataOnly="0" labelOnly="1" outline="0" axis="axisValues" fieldPosition="0"/>
    </format>
    <format dxfId="19">
      <pivotArea field="1" type="button" dataOnly="0" labelOnly="1" outline="0"/>
    </format>
    <format dxfId="18">
      <pivotArea type="all" dataOnly="0" outline="0" fieldPosition="0"/>
    </format>
    <format dxfId="17">
      <pivotArea outline="0" collapsedLevelsAreSubtotals="1" fieldPosition="0"/>
    </format>
    <format dxfId="16">
      <pivotArea field="1" type="button" dataOnly="0" labelOnly="1" outline="0"/>
    </format>
    <format dxfId="15">
      <pivotArea dataOnly="0" labelOnly="1" grandRow="1" outline="0" fieldPosition="0"/>
    </format>
    <format dxfId="14">
      <pivotArea dataOnly="0" labelOnly="1" outline="0" axis="axisValues" fieldPosition="0"/>
    </format>
    <format dxfId="13">
      <pivotArea field="0" type="button" dataOnly="0" labelOnly="1" outline="0" axis="axisRow"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AADAA5-AFAB-47E4-976C-D879E557C34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L6:M11" firstHeaderRow="1" firstDataRow="1" firstDataCol="1"/>
  <pivotFields count="8">
    <pivotField numFmtId="164" showAll="0"/>
    <pivotField axis="axisRow"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pivotField dataField="1" showAll="0"/>
    <pivotField numFmtId="9" showAll="0"/>
    <pivotField showAll="0"/>
  </pivotFields>
  <rowFields count="1">
    <field x="1"/>
  </rowFields>
  <rowItems count="5">
    <i>
      <x/>
    </i>
    <i>
      <x v="1"/>
    </i>
    <i>
      <x v="2"/>
    </i>
    <i>
      <x v="3"/>
    </i>
    <i t="grand">
      <x/>
    </i>
  </rowItems>
  <colItems count="1">
    <i/>
  </colItems>
  <dataFields count="1">
    <dataField name="Sum of Revenue" fld="5" baseField="0" baseItem="0"/>
  </dataFields>
  <formats count="12">
    <format dxfId="33">
      <pivotArea field="1" type="button" dataOnly="0" labelOnly="1" outline="0" axis="axisRow" fieldPosition="0"/>
    </format>
    <format dxfId="32">
      <pivotArea dataOnly="0" labelOnly="1" outline="0" axis="axisValues" fieldPosition="0"/>
    </format>
    <format dxfId="31">
      <pivotArea field="1" type="button" dataOnly="0" labelOnly="1" outline="0" axis="axisRow" fieldPosition="0"/>
    </format>
    <format dxfId="30">
      <pivotArea type="all" dataOnly="0" outline="0" fieldPosition="0"/>
    </format>
    <format dxfId="29">
      <pivotArea outline="0" collapsedLevelsAreSubtotals="1" fieldPosition="0"/>
    </format>
    <format dxfId="28">
      <pivotArea field="1" type="button" dataOnly="0" labelOnly="1" outline="0" axis="axisRow" fieldPosition="0"/>
    </format>
    <format dxfId="27">
      <pivotArea dataOnly="0" labelOnly="1" fieldPosition="0">
        <references count="1">
          <reference field="1" count="0"/>
        </references>
      </pivotArea>
    </format>
    <format dxfId="26">
      <pivotArea dataOnly="0" labelOnly="1" grandRow="1" outline="0" fieldPosition="0"/>
    </format>
    <format dxfId="25">
      <pivotArea dataOnly="0" labelOnly="1" outline="0" axis="axisValues" fieldPosition="0"/>
    </format>
    <format dxfId="24">
      <pivotArea dataOnly="0" labelOnly="1" outline="0" axis="axisValues" fieldPosition="0"/>
    </format>
    <format dxfId="23">
      <pivotArea dataOnly="0" labelOnly="1" outline="0" axis="axisValues" fieldPosition="0"/>
    </format>
    <format dxfId="22">
      <pivotArea field="1"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BE39A7-EB7B-4DEA-955D-9D6C71F8E91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ocation ref="U53:V55" firstHeaderRow="1" firstDataRow="1" firstDataCol="1"/>
  <pivotFields count="8">
    <pivotField numFmtId="164" showAll="0"/>
    <pivotField showAll="0">
      <items count="5">
        <item x="0"/>
        <item x="2"/>
        <item x="3"/>
        <item x="1"/>
        <item t="default"/>
      </items>
    </pivotField>
    <pivotField showAll="0">
      <items count="5">
        <item x="2"/>
        <item x="3"/>
        <item x="1"/>
        <item x="0"/>
        <item t="default"/>
      </items>
    </pivotField>
    <pivotField axis="axisRow" showAll="0">
      <items count="5">
        <item x="0"/>
        <item h="1" x="3"/>
        <item h="1" x="1"/>
        <item h="1" x="2"/>
        <item t="default"/>
      </items>
    </pivotField>
    <pivotField showAll="0"/>
    <pivotField dataField="1" showAll="0"/>
    <pivotField numFmtId="9" showAll="0"/>
    <pivotField showAll="0"/>
  </pivotFields>
  <rowFields count="1">
    <field x="3"/>
  </rowFields>
  <rowItems count="2">
    <i>
      <x/>
    </i>
    <i t="grand">
      <x/>
    </i>
  </rowItems>
  <colItems count="1">
    <i/>
  </colItems>
  <dataFields count="1">
    <dataField name="Sum of Revenue" fld="5" baseField="0" baseItem="0"/>
  </dataFields>
  <formats count="9">
    <format dxfId="42">
      <pivotArea field="1" type="button" dataOnly="0" labelOnly="1" outline="0"/>
    </format>
    <format dxfId="41">
      <pivotArea dataOnly="0" labelOnly="1" outline="0" axis="axisValues" fieldPosition="0"/>
    </format>
    <format dxfId="40">
      <pivotArea field="1" type="button" dataOnly="0" labelOnly="1" outline="0"/>
    </format>
    <format dxfId="39">
      <pivotArea type="all" dataOnly="0" outline="0" fieldPosition="0"/>
    </format>
    <format dxfId="38">
      <pivotArea outline="0" collapsedLevelsAreSubtotals="1" fieldPosition="0"/>
    </format>
    <format dxfId="37">
      <pivotArea field="1" type="button" dataOnly="0" labelOnly="1" outline="0"/>
    </format>
    <format dxfId="36">
      <pivotArea dataOnly="0" labelOnly="1" grandRow="1" outline="0" fieldPosition="0"/>
    </format>
    <format dxfId="35">
      <pivotArea dataOnly="0" labelOnly="1" outline="0" axis="axisValues" fieldPosition="0"/>
    </format>
    <format dxfId="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141EE23-7E13-4EAD-AC21-F93AFCC05EF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person">
  <location ref="U41:V46" firstHeaderRow="1" firstDataRow="1" firstDataCol="1"/>
  <pivotFields count="8">
    <pivotField numFmtId="164"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showAll="0">
      <items count="5">
        <item x="0"/>
        <item x="3"/>
        <item x="1"/>
        <item x="2"/>
        <item t="default"/>
      </items>
    </pivotField>
    <pivotField showAll="0"/>
    <pivotField showAll="0"/>
    <pivotField dataField="1" numFmtId="9" showAll="0"/>
    <pivotField showAll="0"/>
  </pivotFields>
  <rowFields count="1">
    <field x="1"/>
  </rowFields>
  <rowItems count="5">
    <i>
      <x v="2"/>
    </i>
    <i>
      <x/>
    </i>
    <i>
      <x v="3"/>
    </i>
    <i>
      <x v="1"/>
    </i>
    <i t="grand">
      <x/>
    </i>
  </rowItems>
  <colItems count="1">
    <i/>
  </colItems>
  <dataFields count="1">
    <dataField name="Average of Discount" fld="6" subtotal="average" baseField="1" baseItem="0" numFmtId="9"/>
  </dataFields>
  <formats count="10">
    <format dxfId="52">
      <pivotArea field="1" type="button" dataOnly="0" labelOnly="1" outline="0" axis="axisRow" fieldPosition="0"/>
    </format>
    <format dxfId="51">
      <pivotArea dataOnly="0" labelOnly="1" outline="0" axis="axisValues" fieldPosition="0"/>
    </format>
    <format dxfId="50">
      <pivotArea field="1" type="button" dataOnly="0" labelOnly="1" outline="0" axis="axisRow" fieldPosition="0"/>
    </format>
    <format dxfId="49">
      <pivotArea type="all" dataOnly="0" outline="0" fieldPosition="0"/>
    </format>
    <format dxfId="48">
      <pivotArea outline="0" collapsedLevelsAreSubtotals="1" fieldPosition="0"/>
    </format>
    <format dxfId="47">
      <pivotArea field="1" type="button" dataOnly="0" labelOnly="1" outline="0" axis="axisRow" fieldPosition="0"/>
    </format>
    <format dxfId="46">
      <pivotArea dataOnly="0" labelOnly="1" grandRow="1" outline="0" fieldPosition="0"/>
    </format>
    <format dxfId="45">
      <pivotArea dataOnly="0" labelOnly="1" outline="0" axis="axisValues" fieldPosition="0"/>
    </format>
    <format dxfId="44">
      <pivotArea dataOnly="0" labelOnly="1" outline="0" axis="axisValues" fieldPosition="0"/>
    </format>
    <format dxfId="4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B7F948D-7DE3-45EB-BACB-3E9BF32075D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person">
  <location ref="U27:V32" firstHeaderRow="1" firstDataRow="1" firstDataCol="1"/>
  <pivotFields count="8">
    <pivotField numFmtId="164" showAll="0"/>
    <pivotField showAll="0">
      <items count="5">
        <item x="0"/>
        <item x="2"/>
        <item x="3"/>
        <item x="1"/>
        <item t="default"/>
      </items>
    </pivotField>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5">
        <item x="0"/>
        <item x="3"/>
        <item x="1"/>
        <item x="2"/>
        <item t="default"/>
      </items>
    </pivotField>
    <pivotField showAll="0"/>
    <pivotField showAll="0"/>
    <pivotField numFmtId="9" showAll="0"/>
    <pivotField dataField="1" showAll="0"/>
  </pivotFields>
  <rowFields count="1">
    <field x="2"/>
  </rowFields>
  <rowItems count="5">
    <i>
      <x/>
    </i>
    <i>
      <x v="3"/>
    </i>
    <i>
      <x v="2"/>
    </i>
    <i>
      <x v="1"/>
    </i>
    <i t="grand">
      <x/>
    </i>
  </rowItems>
  <colItems count="1">
    <i/>
  </colItems>
  <dataFields count="1">
    <dataField name="Sum of Profit" fld="7" baseField="0" baseItem="0"/>
  </dataFields>
  <formats count="8">
    <format dxfId="60">
      <pivotArea field="1" type="button" dataOnly="0" labelOnly="1" outline="0"/>
    </format>
    <format dxfId="59">
      <pivotArea dataOnly="0" labelOnly="1" outline="0" axis="axisValues" fieldPosition="0"/>
    </format>
    <format dxfId="58">
      <pivotArea field="1" type="button" dataOnly="0" labelOnly="1" outline="0"/>
    </format>
    <format dxfId="57">
      <pivotArea type="all" dataOnly="0" outline="0" fieldPosition="0"/>
    </format>
    <format dxfId="56">
      <pivotArea outline="0" collapsedLevelsAreSubtotals="1" fieldPosition="0"/>
    </format>
    <format dxfId="55">
      <pivotArea field="1" type="button" dataOnly="0" labelOnly="1" outline="0"/>
    </format>
    <format dxfId="54">
      <pivotArea dataOnly="0" labelOnly="1" grandRow="1" outline="0" fieldPosition="0"/>
    </format>
    <format dxfId="5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B377E8E-9BB3-429A-9EF4-6838CBB59BA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location ref="U6:V11" firstHeaderRow="1" firstDataRow="1" firstDataCol="1"/>
  <pivotFields count="8">
    <pivotField numFmtId="164" showAll="0"/>
    <pivotField showAll="0">
      <items count="5">
        <item x="0"/>
        <item x="2"/>
        <item x="3"/>
        <item x="1"/>
        <item t="default"/>
      </items>
    </pivotField>
    <pivotField showAll="0">
      <items count="5">
        <item x="2"/>
        <item x="3"/>
        <item x="1"/>
        <item x="0"/>
        <item t="default"/>
      </items>
    </pivotField>
    <pivotField axis="axisRow" showAll="0" sortType="a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dataField="1" showAll="0"/>
    <pivotField numFmtId="9" showAll="0"/>
    <pivotField showAll="0"/>
  </pivotFields>
  <rowFields count="1">
    <field x="3"/>
  </rowFields>
  <rowItems count="5">
    <i>
      <x/>
    </i>
    <i>
      <x v="3"/>
    </i>
    <i>
      <x v="2"/>
    </i>
    <i>
      <x v="1"/>
    </i>
    <i t="grand">
      <x/>
    </i>
  </rowItems>
  <colItems count="1">
    <i/>
  </colItems>
  <dataFields count="1">
    <dataField name="Sum of Revenue" fld="5" baseField="0" baseItem="0"/>
  </dataFields>
  <formats count="9">
    <format dxfId="69">
      <pivotArea field="1" type="button" dataOnly="0" labelOnly="1" outline="0"/>
    </format>
    <format dxfId="68">
      <pivotArea dataOnly="0" labelOnly="1" outline="0" axis="axisValues" fieldPosition="0"/>
    </format>
    <format dxfId="67">
      <pivotArea field="1" type="button" dataOnly="0" labelOnly="1" outline="0"/>
    </format>
    <format dxfId="66">
      <pivotArea type="all" dataOnly="0" outline="0" fieldPosition="0"/>
    </format>
    <format dxfId="65">
      <pivotArea outline="0" collapsedLevelsAreSubtotals="1" fieldPosition="0"/>
    </format>
    <format dxfId="64">
      <pivotArea field="1" type="button" dataOnly="0" labelOnly="1" outline="0"/>
    </format>
    <format dxfId="63">
      <pivotArea dataOnly="0" labelOnly="1" grandRow="1" outline="0" fieldPosition="0"/>
    </format>
    <format dxfId="62">
      <pivotArea dataOnly="0" labelOnly="1" outline="0" axis="axisValues" fieldPosition="0"/>
    </format>
    <format dxfId="6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35BCB6E8-66A4-4A6D-8C14-ACA711146030}" sourceName="Salesperson">
  <pivotTables>
    <pivotTable tabId="1" name="PivotTable4"/>
    <pivotTable tabId="1" name="PivotTable5"/>
    <pivotTable tabId="1" name="PivotTable6"/>
    <pivotTable tabId="1" name="PivotTable7"/>
    <pivotTable tabId="1" name="PivotTable8"/>
    <pivotTable tabId="1" name="PivotTable9"/>
  </pivotTables>
  <data>
    <tabular pivotCacheId="1493864378">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205F8B5-4254-415B-A76D-9988FDA1AD34}" sourceName="Product">
  <pivotTables>
    <pivotTable tabId="1" name="PivotTable9"/>
  </pivotTables>
  <data>
    <tabular pivotCacheId="1493864378">
      <items count="4">
        <i x="0" s="1"/>
        <i x="3"/>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A545B2-9720-4479-BC3E-7E75EBEFC063}" sourceName="Region">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1899334897">
      <items count="4">
        <i x="2"/>
        <i x="0" nd="1"/>
        <i x="3" s="1" nd="1"/>
        <i x="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11888220-AEA4-4A6A-B2CE-505980491838}" sourceName="Salesperson">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1899334897">
      <items count="4">
        <i x="3"/>
        <i x="2" s="1" nd="1"/>
        <i x="1" nd="1"/>
        <i x="0"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526A42FF-B57B-4E76-B879-D4BAD96BB62D}" sourceName="Product">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1899334897">
      <items count="4">
        <i x="0" s="1" nd="1"/>
        <i x="3" s="1" nd="1"/>
        <i x="1"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66FF594-B8BD-4B6A-9B3F-B6FD4A7E2D1C}" cache="Slicer_Region" caption="Region" rowHeight="180000"/>
  <slicer name="Salesperson 1" xr10:uid="{F4B2DC98-96D8-486E-8F25-515E0FEF7074}" cache="Slicer_Salesperson1" caption="Salesperson" rowHeight="180000"/>
  <slicer name="Product 1" xr10:uid="{1DDF6863-9077-4DCC-A066-50037CC7ACAC}" cache="Slicer_Product1" caption="Product"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05B413DC-419E-49A3-9A0B-ABAFDF1D2305}" cache="Slicer_Salesperson" caption="Salesperson" style="SlicerStyleDark1" rowHeight="180000"/>
  <slicer name="Product" xr10:uid="{373FE5DE-6BAB-4697-9219-2EBCA668376A}" cache="Slicer_Product" caption="Product" columnCount="2" style="SlicerStyleDark1"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19534A-D4D4-4C97-99D2-40B8FBE78B29}" name="Sales_data" displayName="Sales_data" ref="A1:I21" totalsRowShown="0" headerRowDxfId="11" dataDxfId="10">
  <autoFilter ref="A1:I21" xr:uid="{B619534A-D4D4-4C97-99D2-40B8FBE78B29}"/>
  <tableColumns count="9">
    <tableColumn id="1" xr3:uid="{9D393D71-DAB9-4B0B-BDB5-E5B4A2B0A9E9}" name="Date" dataDxfId="9"/>
    <tableColumn id="2" xr3:uid="{CA6BF801-5D2C-412C-92AA-A95B45F04AA1}" name="Region" dataDxfId="8"/>
    <tableColumn id="3" xr3:uid="{BDD7C22D-E6DB-4E90-811D-1A912BC778A2}" name="Salesperson" dataDxfId="7"/>
    <tableColumn id="4" xr3:uid="{E05ADE5F-7C8D-486F-A31D-4E383E159387}" name="Product" dataDxfId="6"/>
    <tableColumn id="5" xr3:uid="{AFC9631A-16C8-44F3-932A-CE8391F36C10}" name="Units Sold" dataDxfId="5"/>
    <tableColumn id="6" xr3:uid="{F18E9A9A-FE1E-494B-A296-32F66A4105B9}" name="Revenue" dataDxfId="4"/>
    <tableColumn id="7" xr3:uid="{58725525-40B1-408F-ABDD-79981546AFA1}" name="Discount" dataDxfId="3"/>
    <tableColumn id="8" xr3:uid="{99ECA8E4-3D71-442D-936B-C8049C711501}" name="Profit" dataDxfId="2"/>
    <tableColumn id="9" xr3:uid="{00882109-7A30-43D5-AC02-0ED412BBFE6F}" name="Profit Margin %" dataDxfId="1">
      <calculatedColumnFormula>(H2/F2)*100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C40A34D-8E8C-43D6-B1BA-1334038D8630}" sourceName="Date">
  <pivotTables>
    <pivotTable tabId="1" name="PivotTable5"/>
  </pivotTables>
  <state minimalRefreshVersion="6" lastRefreshVersion="6" pivotCacheId="1493864378" filterType="unknown">
    <bounds startDate="2024-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4FE09A83-C782-45EF-A3E9-2E1CBD5B9FF2}" sourceName="Date">
  <pivotTables>
    <pivotTable tabId="3" name="PivotTable6"/>
    <pivotTable tabId="3" name="PivotTable1"/>
    <pivotTable tabId="3" name="PivotTable2"/>
    <pivotTable tabId="3" name="PivotTable3"/>
    <pivotTable tabId="3" name="PivotTable4"/>
    <pivotTable tabId="3" name="PivotTable5"/>
    <pivotTable tabId="3" name="PivotTable7"/>
  </pivotTables>
  <state minimalRefreshVersion="6" lastRefreshVersion="6" pivotCacheId="1899334897" filterType="dateBetween">
    <selection startDate="2024-01-01T00:00:00" endDate="2024-01-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4042C90-C0CE-4652-A47D-6AB715C234E5}" cache="NativeTimeline_Date1" caption="Date" level="3" selectionLevel="2"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3103FD3-831E-488E-ACC6-D71AE3F95815}" cache="NativeTimeline_Date" caption="Date" level="3" selectionLevel="3" scrollPosition="2024-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10.xml"/><Relationship Id="rId7" Type="http://schemas.openxmlformats.org/officeDocument/2006/relationships/drawing" Target="../drawings/drawing2.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10" Type="http://schemas.microsoft.com/office/2011/relationships/timeline" Target="../timelines/timeline2.xml"/><Relationship Id="rId4" Type="http://schemas.openxmlformats.org/officeDocument/2006/relationships/pivotTable" Target="../pivotTables/pivotTable11.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9B65A-0066-43B8-8407-21D0B40A51DB}">
  <dimension ref="A6:G72"/>
  <sheetViews>
    <sheetView showGridLines="0" workbookViewId="0">
      <selection activeCell="H66" sqref="H66"/>
    </sheetView>
  </sheetViews>
  <sheetFormatPr defaultRowHeight="14.4" x14ac:dyDescent="0.3"/>
  <cols>
    <col min="1" max="1" width="12.44140625" bestFit="1" customWidth="1"/>
    <col min="2" max="3" width="12.44140625" customWidth="1"/>
    <col min="4" max="4" width="13.6640625" bestFit="1" customWidth="1"/>
    <col min="5" max="5" width="14.109375" bestFit="1" customWidth="1"/>
    <col min="6" max="6" width="11.5546875" bestFit="1" customWidth="1"/>
    <col min="7" max="7" width="22.44140625" bestFit="1" customWidth="1"/>
  </cols>
  <sheetData>
    <row r="6" spans="1:6" x14ac:dyDescent="0.3">
      <c r="A6" s="3" t="s">
        <v>63</v>
      </c>
      <c r="B6" s="3" t="s">
        <v>72</v>
      </c>
      <c r="C6" s="3"/>
      <c r="E6" s="38" t="s">
        <v>1</v>
      </c>
      <c r="F6" t="s">
        <v>24</v>
      </c>
    </row>
    <row r="7" spans="1:6" x14ac:dyDescent="0.3">
      <c r="E7" s="39" t="s">
        <v>23</v>
      </c>
      <c r="F7" s="66"/>
    </row>
    <row r="14" spans="1:6" x14ac:dyDescent="0.3">
      <c r="A14" s="3" t="s">
        <v>64</v>
      </c>
      <c r="B14" s="3" t="s">
        <v>73</v>
      </c>
      <c r="C14" s="3"/>
      <c r="E14" s="38" t="s">
        <v>2</v>
      </c>
      <c r="F14" t="s">
        <v>24</v>
      </c>
    </row>
    <row r="15" spans="1:6" x14ac:dyDescent="0.3">
      <c r="E15" s="39" t="s">
        <v>23</v>
      </c>
      <c r="F15" s="66"/>
    </row>
    <row r="22" spans="1:6" x14ac:dyDescent="0.3">
      <c r="A22" s="3" t="s">
        <v>65</v>
      </c>
      <c r="B22" s="3" t="s">
        <v>74</v>
      </c>
      <c r="C22" s="3"/>
      <c r="E22" s="38" t="s">
        <v>3</v>
      </c>
      <c r="F22" t="s">
        <v>66</v>
      </c>
    </row>
    <row r="23" spans="1:6" x14ac:dyDescent="0.3">
      <c r="E23" s="39" t="s">
        <v>23</v>
      </c>
      <c r="F23" s="66"/>
    </row>
    <row r="30" spans="1:6" x14ac:dyDescent="0.3">
      <c r="A30" s="3" t="s">
        <v>67</v>
      </c>
      <c r="B30" s="3" t="s">
        <v>75</v>
      </c>
      <c r="C30" s="3"/>
      <c r="E30" s="38" t="s">
        <v>0</v>
      </c>
      <c r="F30" t="s">
        <v>24</v>
      </c>
    </row>
    <row r="31" spans="1:6" x14ac:dyDescent="0.3">
      <c r="E31" s="41" t="s">
        <v>23</v>
      </c>
      <c r="F31" s="66"/>
    </row>
    <row r="54" spans="1:7" x14ac:dyDescent="0.3">
      <c r="A54" s="3" t="s">
        <v>68</v>
      </c>
      <c r="B54" s="3" t="s">
        <v>76</v>
      </c>
      <c r="C54" s="3"/>
      <c r="E54" s="38" t="s">
        <v>1</v>
      </c>
      <c r="F54" t="s">
        <v>41</v>
      </c>
    </row>
    <row r="55" spans="1:7" x14ac:dyDescent="0.3">
      <c r="E55" s="39" t="s">
        <v>23</v>
      </c>
      <c r="F55" s="66"/>
    </row>
    <row r="62" spans="1:7" x14ac:dyDescent="0.3">
      <c r="A62" s="3" t="s">
        <v>69</v>
      </c>
      <c r="B62" s="3" t="s">
        <v>77</v>
      </c>
      <c r="C62" s="3"/>
      <c r="E62" s="38" t="s">
        <v>1</v>
      </c>
      <c r="F62" t="s">
        <v>46</v>
      </c>
      <c r="G62" t="s">
        <v>82</v>
      </c>
    </row>
    <row r="63" spans="1:7" x14ac:dyDescent="0.3">
      <c r="E63" s="39" t="s">
        <v>23</v>
      </c>
      <c r="F63" s="42"/>
      <c r="G63" s="52" t="e">
        <v>#DIV/0!</v>
      </c>
    </row>
    <row r="69" spans="1:7" x14ac:dyDescent="0.3">
      <c r="A69" s="3"/>
      <c r="B69" s="3"/>
      <c r="C69" s="3"/>
    </row>
    <row r="71" spans="1:7" x14ac:dyDescent="0.3">
      <c r="A71" s="3" t="s">
        <v>70</v>
      </c>
      <c r="B71" s="3" t="s">
        <v>78</v>
      </c>
      <c r="C71" s="3"/>
      <c r="E71" t="s">
        <v>24</v>
      </c>
      <c r="F71" t="s">
        <v>41</v>
      </c>
      <c r="G71" t="s">
        <v>71</v>
      </c>
    </row>
    <row r="72" spans="1:7" x14ac:dyDescent="0.3">
      <c r="E72" s="66"/>
      <c r="F72" s="66"/>
      <c r="G72" s="3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782A3-A1F8-42B1-A51B-0F2D23402581}">
  <dimension ref="L1:AO126"/>
  <sheetViews>
    <sheetView showGridLines="0" zoomScale="55" zoomScaleNormal="55" workbookViewId="0">
      <selection activeCell="AE63" sqref="AE63"/>
    </sheetView>
  </sheetViews>
  <sheetFormatPr defaultColWidth="9.109375" defaultRowHeight="14.4" x14ac:dyDescent="0.3"/>
  <cols>
    <col min="1" max="17" width="9.109375" style="43"/>
    <col min="18" max="18" width="6.77734375" style="43" bestFit="1" customWidth="1"/>
    <col min="19" max="16384" width="9.109375" style="43"/>
  </cols>
  <sheetData>
    <row r="1" spans="23:28" ht="15" thickBot="1" x14ac:dyDescent="0.35"/>
    <row r="2" spans="23:28" ht="15" thickTop="1" x14ac:dyDescent="0.3">
      <c r="W2" s="54"/>
      <c r="X2" s="55"/>
      <c r="Y2" s="55"/>
      <c r="Z2" s="55"/>
      <c r="AA2" s="55"/>
      <c r="AB2" s="56"/>
    </row>
    <row r="3" spans="23:28" x14ac:dyDescent="0.3">
      <c r="W3" s="57"/>
      <c r="X3" s="58"/>
      <c r="Y3" s="58"/>
      <c r="Z3" s="58"/>
      <c r="AA3" s="58"/>
      <c r="AB3" s="59"/>
    </row>
    <row r="4" spans="23:28" ht="15" thickBot="1" x14ac:dyDescent="0.35">
      <c r="W4" s="60"/>
      <c r="X4" s="61"/>
      <c r="Y4" s="61"/>
      <c r="Z4" s="61"/>
      <c r="AA4" s="61"/>
      <c r="AB4" s="62"/>
    </row>
    <row r="5" spans="23:28" ht="15" thickTop="1" x14ac:dyDescent="0.3"/>
    <row r="27" spans="18:32" ht="15" thickBot="1" x14ac:dyDescent="0.35"/>
    <row r="28" spans="18:32" ht="15" thickTop="1" x14ac:dyDescent="0.3">
      <c r="R28" s="44"/>
      <c r="S28" s="45"/>
      <c r="T28" s="46"/>
      <c r="X28" s="44"/>
      <c r="Y28" s="45"/>
      <c r="Z28" s="46"/>
      <c r="AD28" s="44"/>
      <c r="AE28" s="45"/>
      <c r="AF28" s="46"/>
    </row>
    <row r="29" spans="18:32" x14ac:dyDescent="0.3">
      <c r="R29" s="47"/>
      <c r="T29" s="48"/>
      <c r="X29" s="47"/>
      <c r="Z29" s="48"/>
      <c r="AD29" s="47"/>
      <c r="AF29" s="48"/>
    </row>
    <row r="30" spans="18:32" x14ac:dyDescent="0.3">
      <c r="R30" s="47"/>
      <c r="T30" s="48"/>
      <c r="X30" s="47"/>
      <c r="Z30" s="48"/>
      <c r="AD30" s="47"/>
      <c r="AF30" s="48"/>
    </row>
    <row r="31" spans="18:32" ht="15" thickBot="1" x14ac:dyDescent="0.35">
      <c r="R31" s="49"/>
      <c r="S31" s="50"/>
      <c r="T31" s="51"/>
      <c r="X31" s="49"/>
      <c r="Y31" s="50"/>
      <c r="Z31" s="51"/>
      <c r="AD31" s="49"/>
      <c r="AE31" s="50"/>
      <c r="AF31" s="51"/>
    </row>
    <row r="32" spans="18:32" ht="15.6" thickTop="1" thickBot="1" x14ac:dyDescent="0.35"/>
    <row r="33" spans="12:41" ht="21.6" thickBot="1" x14ac:dyDescent="0.45">
      <c r="R33" s="63" t="s">
        <v>79</v>
      </c>
      <c r="S33" s="64"/>
      <c r="T33" s="65"/>
      <c r="X33" s="63" t="s">
        <v>80</v>
      </c>
      <c r="Y33" s="64"/>
      <c r="Z33" s="65"/>
      <c r="AD33" s="63" t="s">
        <v>81</v>
      </c>
      <c r="AE33" s="64"/>
      <c r="AF33" s="65"/>
    </row>
    <row r="37" spans="12:41" ht="14.25" customHeight="1" thickBot="1" x14ac:dyDescent="0.35"/>
    <row r="38" spans="12:41" ht="15" thickTop="1" x14ac:dyDescent="0.3">
      <c r="L38" s="44"/>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6"/>
    </row>
    <row r="39" spans="12:41" x14ac:dyDescent="0.3">
      <c r="L39" s="47"/>
      <c r="AO39" s="48"/>
    </row>
    <row r="40" spans="12:41" x14ac:dyDescent="0.3">
      <c r="L40" s="47"/>
      <c r="AO40" s="48"/>
    </row>
    <row r="41" spans="12:41" x14ac:dyDescent="0.3">
      <c r="L41" s="47"/>
      <c r="AO41" s="48"/>
    </row>
    <row r="42" spans="12:41" x14ac:dyDescent="0.3">
      <c r="L42" s="47"/>
      <c r="AO42" s="48"/>
    </row>
    <row r="43" spans="12:41" x14ac:dyDescent="0.3">
      <c r="L43" s="47"/>
      <c r="AO43" s="48"/>
    </row>
    <row r="44" spans="12:41" x14ac:dyDescent="0.3">
      <c r="L44" s="47"/>
      <c r="AO44" s="48"/>
    </row>
    <row r="45" spans="12:41" x14ac:dyDescent="0.3">
      <c r="L45" s="47"/>
      <c r="AO45" s="48"/>
    </row>
    <row r="46" spans="12:41" x14ac:dyDescent="0.3">
      <c r="L46" s="47"/>
      <c r="AO46" s="48"/>
    </row>
    <row r="47" spans="12:41" x14ac:dyDescent="0.3">
      <c r="L47" s="47"/>
      <c r="AO47" s="48"/>
    </row>
    <row r="48" spans="12:41" x14ac:dyDescent="0.3">
      <c r="L48" s="47"/>
      <c r="AO48" s="48"/>
    </row>
    <row r="49" spans="12:41" x14ac:dyDescent="0.3">
      <c r="L49" s="47"/>
      <c r="AO49" s="48"/>
    </row>
    <row r="50" spans="12:41" x14ac:dyDescent="0.3">
      <c r="L50" s="47"/>
      <c r="AO50" s="48"/>
    </row>
    <row r="51" spans="12:41" x14ac:dyDescent="0.3">
      <c r="L51" s="47"/>
      <c r="AO51" s="48"/>
    </row>
    <row r="52" spans="12:41" x14ac:dyDescent="0.3">
      <c r="L52" s="47"/>
      <c r="AO52" s="48"/>
    </row>
    <row r="53" spans="12:41" x14ac:dyDescent="0.3">
      <c r="L53" s="47"/>
      <c r="AO53" s="48"/>
    </row>
    <row r="54" spans="12:41" x14ac:dyDescent="0.3">
      <c r="L54" s="47"/>
      <c r="AO54" s="48"/>
    </row>
    <row r="55" spans="12:41" x14ac:dyDescent="0.3">
      <c r="L55" s="47"/>
      <c r="AO55" s="48"/>
    </row>
    <row r="56" spans="12:41" x14ac:dyDescent="0.3">
      <c r="L56" s="47"/>
      <c r="AO56" s="48"/>
    </row>
    <row r="57" spans="12:41" x14ac:dyDescent="0.3">
      <c r="L57" s="47"/>
      <c r="AO57" s="48"/>
    </row>
    <row r="58" spans="12:41" x14ac:dyDescent="0.3">
      <c r="L58" s="47"/>
      <c r="AO58" s="53"/>
    </row>
    <row r="59" spans="12:41" x14ac:dyDescent="0.3">
      <c r="L59" s="47"/>
      <c r="AO59" s="48"/>
    </row>
    <row r="60" spans="12:41" x14ac:dyDescent="0.3">
      <c r="L60" s="47"/>
      <c r="AO60" s="48"/>
    </row>
    <row r="61" spans="12:41" x14ac:dyDescent="0.3">
      <c r="L61" s="47"/>
      <c r="AO61" s="48"/>
    </row>
    <row r="62" spans="12:41" x14ac:dyDescent="0.3">
      <c r="L62" s="47"/>
      <c r="AO62" s="48"/>
    </row>
    <row r="63" spans="12:41" x14ac:dyDescent="0.3">
      <c r="L63" s="47"/>
      <c r="AO63" s="48"/>
    </row>
    <row r="64" spans="12:41" x14ac:dyDescent="0.3">
      <c r="L64" s="47"/>
      <c r="AO64" s="48"/>
    </row>
    <row r="65" spans="12:41" x14ac:dyDescent="0.3">
      <c r="L65" s="47"/>
      <c r="AO65" s="48"/>
    </row>
    <row r="66" spans="12:41" x14ac:dyDescent="0.3">
      <c r="L66" s="47"/>
      <c r="AO66" s="48"/>
    </row>
    <row r="67" spans="12:41" x14ac:dyDescent="0.3">
      <c r="L67" s="47"/>
      <c r="AO67" s="48"/>
    </row>
    <row r="68" spans="12:41" x14ac:dyDescent="0.3">
      <c r="L68" s="47"/>
      <c r="AO68" s="48"/>
    </row>
    <row r="69" spans="12:41" x14ac:dyDescent="0.3">
      <c r="L69" s="47"/>
      <c r="AO69" s="48"/>
    </row>
    <row r="70" spans="12:41" x14ac:dyDescent="0.3">
      <c r="L70" s="47"/>
      <c r="AO70" s="48"/>
    </row>
    <row r="71" spans="12:41" x14ac:dyDescent="0.3">
      <c r="L71" s="47"/>
      <c r="AO71" s="48"/>
    </row>
    <row r="72" spans="12:41" x14ac:dyDescent="0.3">
      <c r="L72" s="47"/>
      <c r="AO72" s="48"/>
    </row>
    <row r="73" spans="12:41" x14ac:dyDescent="0.3">
      <c r="L73" s="47"/>
      <c r="AO73" s="48"/>
    </row>
    <row r="74" spans="12:41" x14ac:dyDescent="0.3">
      <c r="L74" s="47"/>
      <c r="AO74" s="48"/>
    </row>
    <row r="75" spans="12:41" x14ac:dyDescent="0.3">
      <c r="L75" s="47"/>
      <c r="AO75" s="48"/>
    </row>
    <row r="76" spans="12:41" x14ac:dyDescent="0.3">
      <c r="L76" s="47"/>
      <c r="AO76" s="48"/>
    </row>
    <row r="77" spans="12:41" x14ac:dyDescent="0.3">
      <c r="L77" s="47"/>
      <c r="AO77" s="48"/>
    </row>
    <row r="78" spans="12:41" x14ac:dyDescent="0.3">
      <c r="L78" s="47"/>
      <c r="AO78" s="48"/>
    </row>
    <row r="79" spans="12:41" x14ac:dyDescent="0.3">
      <c r="L79" s="47"/>
      <c r="AO79" s="48"/>
    </row>
    <row r="80" spans="12:41" x14ac:dyDescent="0.3">
      <c r="L80" s="47"/>
      <c r="AO80" s="48"/>
    </row>
    <row r="81" spans="12:41" x14ac:dyDescent="0.3">
      <c r="L81" s="47"/>
      <c r="AO81" s="48"/>
    </row>
    <row r="82" spans="12:41" x14ac:dyDescent="0.3">
      <c r="L82" s="47"/>
      <c r="AO82" s="48"/>
    </row>
    <row r="83" spans="12:41" x14ac:dyDescent="0.3">
      <c r="L83" s="47"/>
      <c r="AO83" s="48"/>
    </row>
    <row r="84" spans="12:41" ht="12.75" customHeight="1" x14ac:dyDescent="0.3">
      <c r="L84" s="47"/>
      <c r="AO84" s="48"/>
    </row>
    <row r="85" spans="12:41" x14ac:dyDescent="0.3">
      <c r="L85" s="47"/>
      <c r="AO85" s="48"/>
    </row>
    <row r="86" spans="12:41" x14ac:dyDescent="0.3">
      <c r="L86" s="47"/>
      <c r="AO86" s="48"/>
    </row>
    <row r="87" spans="12:41" x14ac:dyDescent="0.3">
      <c r="L87" s="47"/>
      <c r="AO87" s="48"/>
    </row>
    <row r="88" spans="12:41" x14ac:dyDescent="0.3">
      <c r="L88" s="47"/>
      <c r="AO88" s="48"/>
    </row>
    <row r="89" spans="12:41" x14ac:dyDescent="0.3">
      <c r="L89" s="47"/>
      <c r="AO89" s="48"/>
    </row>
    <row r="90" spans="12:41" x14ac:dyDescent="0.3">
      <c r="L90" s="47"/>
      <c r="AO90" s="48"/>
    </row>
    <row r="91" spans="12:41" x14ac:dyDescent="0.3">
      <c r="L91" s="47"/>
      <c r="AO91" s="48"/>
    </row>
    <row r="92" spans="12:41" x14ac:dyDescent="0.3">
      <c r="L92" s="47"/>
      <c r="AO92" s="48"/>
    </row>
    <row r="93" spans="12:41" x14ac:dyDescent="0.3">
      <c r="L93" s="47"/>
      <c r="AO93" s="48"/>
    </row>
    <row r="94" spans="12:41" x14ac:dyDescent="0.3">
      <c r="L94" s="47"/>
      <c r="AO94" s="48"/>
    </row>
    <row r="95" spans="12:41" x14ac:dyDescent="0.3">
      <c r="L95" s="47"/>
      <c r="AO95" s="48"/>
    </row>
    <row r="96" spans="12:41" x14ac:dyDescent="0.3">
      <c r="L96" s="47"/>
      <c r="AO96" s="48"/>
    </row>
    <row r="97" spans="12:41" x14ac:dyDescent="0.3">
      <c r="L97" s="47"/>
      <c r="AO97" s="48"/>
    </row>
    <row r="98" spans="12:41" x14ac:dyDescent="0.3">
      <c r="L98" s="47"/>
      <c r="AO98" s="48"/>
    </row>
    <row r="99" spans="12:41" x14ac:dyDescent="0.3">
      <c r="L99" s="47"/>
      <c r="AO99" s="48"/>
    </row>
    <row r="100" spans="12:41" x14ac:dyDescent="0.3">
      <c r="L100" s="47"/>
      <c r="AO100" s="48"/>
    </row>
    <row r="101" spans="12:41" x14ac:dyDescent="0.3">
      <c r="L101" s="47"/>
      <c r="AO101" s="48"/>
    </row>
    <row r="102" spans="12:41" x14ac:dyDescent="0.3">
      <c r="L102" s="47"/>
      <c r="AO102" s="48"/>
    </row>
    <row r="103" spans="12:41" x14ac:dyDescent="0.3">
      <c r="L103" s="47"/>
      <c r="AO103" s="48"/>
    </row>
    <row r="104" spans="12:41" x14ac:dyDescent="0.3">
      <c r="L104" s="47"/>
      <c r="AO104" s="48"/>
    </row>
    <row r="105" spans="12:41" x14ac:dyDescent="0.3">
      <c r="L105" s="47"/>
      <c r="AO105" s="48"/>
    </row>
    <row r="106" spans="12:41" x14ac:dyDescent="0.3">
      <c r="L106" s="47"/>
      <c r="AO106" s="48"/>
    </row>
    <row r="107" spans="12:41" x14ac:dyDescent="0.3">
      <c r="L107" s="47"/>
      <c r="AO107" s="48"/>
    </row>
    <row r="108" spans="12:41" x14ac:dyDescent="0.3">
      <c r="L108" s="47"/>
      <c r="AO108" s="48"/>
    </row>
    <row r="109" spans="12:41" x14ac:dyDescent="0.3">
      <c r="L109" s="47"/>
      <c r="AO109" s="48"/>
    </row>
    <row r="110" spans="12:41" x14ac:dyDescent="0.3">
      <c r="L110" s="47"/>
      <c r="AO110" s="48"/>
    </row>
    <row r="111" spans="12:41" x14ac:dyDescent="0.3">
      <c r="L111" s="47"/>
      <c r="AO111" s="48"/>
    </row>
    <row r="112" spans="12:41" x14ac:dyDescent="0.3">
      <c r="L112" s="47"/>
      <c r="AO112" s="48"/>
    </row>
    <row r="113" spans="12:41" x14ac:dyDescent="0.3">
      <c r="L113" s="47"/>
      <c r="AO113" s="48"/>
    </row>
    <row r="114" spans="12:41" x14ac:dyDescent="0.3">
      <c r="L114" s="47"/>
      <c r="AO114" s="48"/>
    </row>
    <row r="115" spans="12:41" x14ac:dyDescent="0.3">
      <c r="L115" s="47"/>
      <c r="AO115" s="48"/>
    </row>
    <row r="116" spans="12:41" x14ac:dyDescent="0.3">
      <c r="L116" s="47"/>
      <c r="AO116" s="48"/>
    </row>
    <row r="117" spans="12:41" x14ac:dyDescent="0.3">
      <c r="L117" s="47"/>
      <c r="AO117" s="48"/>
    </row>
    <row r="118" spans="12:41" x14ac:dyDescent="0.3">
      <c r="L118" s="47"/>
      <c r="AO118" s="48"/>
    </row>
    <row r="119" spans="12:41" x14ac:dyDescent="0.3">
      <c r="L119" s="47"/>
      <c r="AO119" s="48"/>
    </row>
    <row r="120" spans="12:41" x14ac:dyDescent="0.3">
      <c r="L120" s="47"/>
      <c r="AO120" s="48"/>
    </row>
    <row r="121" spans="12:41" x14ac:dyDescent="0.3">
      <c r="L121" s="47"/>
      <c r="AO121" s="48"/>
    </row>
    <row r="122" spans="12:41" x14ac:dyDescent="0.3">
      <c r="L122" s="47"/>
      <c r="AO122" s="48"/>
    </row>
    <row r="123" spans="12:41" x14ac:dyDescent="0.3">
      <c r="L123" s="47"/>
      <c r="AO123" s="48"/>
    </row>
    <row r="124" spans="12:41" x14ac:dyDescent="0.3">
      <c r="L124" s="47"/>
      <c r="AO124" s="48"/>
    </row>
    <row r="125" spans="12:41" ht="15" thickBot="1" x14ac:dyDescent="0.35">
      <c r="L125" s="49"/>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c r="AM125" s="50"/>
      <c r="AN125" s="50"/>
      <c r="AO125" s="51"/>
    </row>
    <row r="126" spans="12:41" ht="15" thickTop="1" x14ac:dyDescent="0.3"/>
  </sheetData>
  <mergeCells count="3">
    <mergeCell ref="R33:T33"/>
    <mergeCell ref="X33:Z33"/>
    <mergeCell ref="AD33:AF3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37256-0FE3-48F3-AD72-78FD015B1F69}">
  <dimension ref="A1:AG55"/>
  <sheetViews>
    <sheetView tabSelected="1" workbookViewId="0">
      <selection activeCell="AR91" sqref="AR91"/>
    </sheetView>
  </sheetViews>
  <sheetFormatPr defaultRowHeight="14.4" x14ac:dyDescent="0.3"/>
  <cols>
    <col min="1" max="1" width="11.77734375" customWidth="1"/>
    <col min="2" max="2" width="8.88671875" customWidth="1"/>
    <col min="3" max="3" width="13.44140625" customWidth="1"/>
    <col min="4" max="4" width="9.5546875" customWidth="1"/>
    <col min="5" max="5" width="11.77734375" customWidth="1"/>
    <col min="6" max="6" width="10.21875" customWidth="1"/>
    <col min="7" max="7" width="12.21875" customWidth="1"/>
    <col min="8" max="8" width="14.44140625" customWidth="1"/>
    <col min="9" max="9" width="16" customWidth="1"/>
    <col min="12" max="12" width="11.88671875" customWidth="1"/>
    <col min="13" max="13" width="13.6640625" bestFit="1" customWidth="1"/>
    <col min="17" max="17" width="9.77734375" customWidth="1"/>
  </cols>
  <sheetData>
    <row r="1" spans="1:33" x14ac:dyDescent="0.3">
      <c r="A1" s="40" t="s">
        <v>0</v>
      </c>
      <c r="B1" s="40" t="s">
        <v>1</v>
      </c>
      <c r="C1" s="40" t="s">
        <v>2</v>
      </c>
      <c r="D1" s="40" t="s">
        <v>3</v>
      </c>
      <c r="E1" s="40" t="s">
        <v>4</v>
      </c>
      <c r="F1" s="40" t="s">
        <v>5</v>
      </c>
      <c r="G1" s="40" t="s">
        <v>6</v>
      </c>
      <c r="H1" s="40" t="s">
        <v>7</v>
      </c>
      <c r="I1" s="40" t="s">
        <v>60</v>
      </c>
    </row>
    <row r="2" spans="1:33" ht="15.6" x14ac:dyDescent="0.3">
      <c r="A2" s="17">
        <v>45292</v>
      </c>
      <c r="B2" s="1" t="s">
        <v>8</v>
      </c>
      <c r="C2" s="1" t="s">
        <v>9</v>
      </c>
      <c r="D2" s="1" t="s">
        <v>10</v>
      </c>
      <c r="E2" s="1">
        <v>5</v>
      </c>
      <c r="F2" s="1">
        <v>5000</v>
      </c>
      <c r="G2" s="2">
        <v>0.1</v>
      </c>
      <c r="H2" s="1">
        <v>1000</v>
      </c>
      <c r="I2" s="37">
        <f>(H2/F2)*100</f>
        <v>20</v>
      </c>
      <c r="L2" s="14" t="s">
        <v>21</v>
      </c>
      <c r="U2" s="14" t="s">
        <v>35</v>
      </c>
      <c r="AE2" s="14" t="s">
        <v>52</v>
      </c>
    </row>
    <row r="3" spans="1:33" x14ac:dyDescent="0.3">
      <c r="A3" s="17">
        <v>45293</v>
      </c>
      <c r="B3" s="1" t="s">
        <v>11</v>
      </c>
      <c r="C3" s="1" t="s">
        <v>12</v>
      </c>
      <c r="D3" s="1" t="s">
        <v>13</v>
      </c>
      <c r="E3" s="1">
        <v>10</v>
      </c>
      <c r="F3" s="1">
        <v>7000</v>
      </c>
      <c r="G3" s="2">
        <v>0.05</v>
      </c>
      <c r="H3" s="1">
        <v>1500</v>
      </c>
      <c r="I3" s="37">
        <f t="shared" ref="I3:I21" si="0">(H3/F3)*100</f>
        <v>21.428571428571427</v>
      </c>
    </row>
    <row r="4" spans="1:33" x14ac:dyDescent="0.3">
      <c r="A4" s="17">
        <v>45294</v>
      </c>
      <c r="B4" s="1" t="s">
        <v>14</v>
      </c>
      <c r="C4" s="1" t="s">
        <v>15</v>
      </c>
      <c r="D4" s="1" t="s">
        <v>16</v>
      </c>
      <c r="E4" s="1">
        <v>8</v>
      </c>
      <c r="F4" s="1">
        <v>4000</v>
      </c>
      <c r="G4" s="2">
        <v>0.08</v>
      </c>
      <c r="H4" s="1">
        <v>800</v>
      </c>
      <c r="I4" s="37">
        <f t="shared" si="0"/>
        <v>20</v>
      </c>
      <c r="L4" s="3" t="s">
        <v>22</v>
      </c>
      <c r="U4" s="3" t="s">
        <v>36</v>
      </c>
      <c r="AE4" s="3" t="s">
        <v>50</v>
      </c>
    </row>
    <row r="5" spans="1:33" ht="15" thickBot="1" x14ac:dyDescent="0.35">
      <c r="A5" s="17">
        <v>45295</v>
      </c>
      <c r="B5" s="1" t="s">
        <v>17</v>
      </c>
      <c r="C5" s="1" t="s">
        <v>18</v>
      </c>
      <c r="D5" s="1" t="s">
        <v>19</v>
      </c>
      <c r="E5" s="1">
        <v>6</v>
      </c>
      <c r="F5" s="1">
        <v>3000</v>
      </c>
      <c r="G5" s="2">
        <v>0.12</v>
      </c>
      <c r="H5" s="1">
        <v>600</v>
      </c>
      <c r="I5" s="37">
        <f t="shared" si="0"/>
        <v>20</v>
      </c>
      <c r="AE5" s="3" t="s">
        <v>51</v>
      </c>
    </row>
    <row r="6" spans="1:33" ht="15" thickBot="1" x14ac:dyDescent="0.35">
      <c r="A6" s="17">
        <v>45296</v>
      </c>
      <c r="B6" s="1" t="s">
        <v>8</v>
      </c>
      <c r="C6" s="1" t="s">
        <v>9</v>
      </c>
      <c r="D6" s="1" t="s">
        <v>13</v>
      </c>
      <c r="E6" s="1">
        <v>12</v>
      </c>
      <c r="F6" s="1">
        <v>8400</v>
      </c>
      <c r="G6" s="2">
        <v>7.0000000000000007E-2</v>
      </c>
      <c r="H6" s="1">
        <v>1800</v>
      </c>
      <c r="I6" s="37">
        <f t="shared" si="0"/>
        <v>21.428571428571427</v>
      </c>
      <c r="L6" s="27" t="s">
        <v>1</v>
      </c>
      <c r="M6" s="26" t="s">
        <v>24</v>
      </c>
      <c r="O6" s="15" t="s">
        <v>25</v>
      </c>
      <c r="U6" s="19" t="s">
        <v>3</v>
      </c>
      <c r="V6" s="36" t="s">
        <v>24</v>
      </c>
    </row>
    <row r="7" spans="1:33" x14ac:dyDescent="0.3">
      <c r="A7" s="17">
        <v>45297</v>
      </c>
      <c r="B7" s="1" t="s">
        <v>11</v>
      </c>
      <c r="C7" s="1" t="s">
        <v>12</v>
      </c>
      <c r="D7" s="1" t="s">
        <v>10</v>
      </c>
      <c r="E7" s="1">
        <v>7</v>
      </c>
      <c r="F7" s="1">
        <v>4900</v>
      </c>
      <c r="G7" s="2">
        <v>0.06</v>
      </c>
      <c r="H7" s="1">
        <v>900</v>
      </c>
      <c r="I7" s="37">
        <f t="shared" si="0"/>
        <v>18.367346938775512</v>
      </c>
      <c r="L7" s="11" t="s">
        <v>8</v>
      </c>
      <c r="M7" s="5">
        <v>31700</v>
      </c>
      <c r="O7" s="16" t="s">
        <v>26</v>
      </c>
      <c r="U7" s="4" t="s">
        <v>10</v>
      </c>
      <c r="V7" s="5">
        <v>25000</v>
      </c>
      <c r="AE7" s="15" t="s">
        <v>53</v>
      </c>
    </row>
    <row r="8" spans="1:33" x14ac:dyDescent="0.3">
      <c r="A8" s="17">
        <v>45298</v>
      </c>
      <c r="B8" s="1" t="s">
        <v>14</v>
      </c>
      <c r="C8" s="1" t="s">
        <v>15</v>
      </c>
      <c r="D8" s="1" t="s">
        <v>19</v>
      </c>
      <c r="E8" s="1">
        <v>15</v>
      </c>
      <c r="F8" s="1">
        <v>10500</v>
      </c>
      <c r="G8" s="2">
        <v>0.04</v>
      </c>
      <c r="H8" s="1">
        <v>2100</v>
      </c>
      <c r="I8" s="37">
        <f t="shared" si="0"/>
        <v>20</v>
      </c>
      <c r="L8" s="12" t="s">
        <v>14</v>
      </c>
      <c r="M8" s="10">
        <v>34800</v>
      </c>
      <c r="U8" s="4" t="s">
        <v>16</v>
      </c>
      <c r="V8" s="10">
        <v>26300</v>
      </c>
      <c r="AE8" s="16">
        <f>COUNTIF(H2:H21,"&lt;1000")</f>
        <v>7</v>
      </c>
      <c r="AF8" s="3" t="s">
        <v>54</v>
      </c>
    </row>
    <row r="9" spans="1:33" x14ac:dyDescent="0.3">
      <c r="A9" s="17">
        <v>45299</v>
      </c>
      <c r="B9" s="1" t="s">
        <v>17</v>
      </c>
      <c r="C9" s="1" t="s">
        <v>18</v>
      </c>
      <c r="D9" s="1" t="s">
        <v>16</v>
      </c>
      <c r="E9" s="1">
        <v>9</v>
      </c>
      <c r="F9" s="1">
        <v>6200</v>
      </c>
      <c r="G9" s="2">
        <v>0.09</v>
      </c>
      <c r="H9" s="1">
        <v>1200</v>
      </c>
      <c r="I9" s="37">
        <f t="shared" si="0"/>
        <v>19.35483870967742</v>
      </c>
      <c r="L9" s="12" t="s">
        <v>17</v>
      </c>
      <c r="M9" s="10">
        <v>28300</v>
      </c>
      <c r="U9" s="4" t="s">
        <v>13</v>
      </c>
      <c r="V9" s="10">
        <v>36300</v>
      </c>
    </row>
    <row r="10" spans="1:33" ht="15" thickBot="1" x14ac:dyDescent="0.35">
      <c r="A10" s="17">
        <v>45300</v>
      </c>
      <c r="B10" s="1" t="s">
        <v>8</v>
      </c>
      <c r="C10" s="1" t="s">
        <v>9</v>
      </c>
      <c r="D10" s="1" t="s">
        <v>10</v>
      </c>
      <c r="E10" s="1">
        <v>4</v>
      </c>
      <c r="F10" s="1">
        <v>2800</v>
      </c>
      <c r="G10" s="2">
        <v>0.1</v>
      </c>
      <c r="H10" s="1">
        <v>400</v>
      </c>
      <c r="I10" s="37">
        <f t="shared" si="0"/>
        <v>14.285714285714285</v>
      </c>
      <c r="L10" s="13" t="s">
        <v>11</v>
      </c>
      <c r="M10" s="10">
        <v>29600</v>
      </c>
      <c r="U10" s="4" t="s">
        <v>19</v>
      </c>
      <c r="V10" s="10">
        <v>36800</v>
      </c>
    </row>
    <row r="11" spans="1:33" ht="16.2" thickBot="1" x14ac:dyDescent="0.35">
      <c r="A11" s="17">
        <v>45301</v>
      </c>
      <c r="B11" s="1" t="s">
        <v>11</v>
      </c>
      <c r="C11" s="1" t="s">
        <v>12</v>
      </c>
      <c r="D11" s="1" t="s">
        <v>13</v>
      </c>
      <c r="E11" s="1">
        <v>11</v>
      </c>
      <c r="F11" s="1">
        <v>7700</v>
      </c>
      <c r="G11" s="2">
        <v>0.03</v>
      </c>
      <c r="H11" s="1">
        <v>1600</v>
      </c>
      <c r="I11" s="37">
        <f t="shared" si="0"/>
        <v>20.779220779220779</v>
      </c>
      <c r="L11" s="8" t="s">
        <v>23</v>
      </c>
      <c r="M11" s="6">
        <v>124400</v>
      </c>
      <c r="U11" s="8" t="s">
        <v>23</v>
      </c>
      <c r="V11" s="6">
        <v>124400</v>
      </c>
      <c r="AE11" s="14" t="s">
        <v>55</v>
      </c>
    </row>
    <row r="12" spans="1:33" ht="15" thickBot="1" x14ac:dyDescent="0.35">
      <c r="A12" s="17">
        <v>45302</v>
      </c>
      <c r="B12" s="1" t="s">
        <v>14</v>
      </c>
      <c r="C12" s="1" t="s">
        <v>15</v>
      </c>
      <c r="D12" s="1" t="s">
        <v>16</v>
      </c>
      <c r="E12" s="1">
        <v>6</v>
      </c>
      <c r="F12" s="1">
        <v>3600</v>
      </c>
      <c r="G12" s="2">
        <v>0.05</v>
      </c>
      <c r="H12" s="1">
        <v>700</v>
      </c>
      <c r="I12" s="37">
        <f t="shared" si="0"/>
        <v>19.444444444444446</v>
      </c>
    </row>
    <row r="13" spans="1:33" x14ac:dyDescent="0.3">
      <c r="A13" s="17">
        <v>45303</v>
      </c>
      <c r="B13" s="1" t="s">
        <v>17</v>
      </c>
      <c r="C13" s="1" t="s">
        <v>18</v>
      </c>
      <c r="D13" s="1" t="s">
        <v>19</v>
      </c>
      <c r="E13" s="1">
        <v>13</v>
      </c>
      <c r="F13" s="1">
        <v>9100</v>
      </c>
      <c r="G13" s="2">
        <v>7.0000000000000007E-2</v>
      </c>
      <c r="H13" s="1">
        <v>1900</v>
      </c>
      <c r="I13" s="37">
        <f t="shared" si="0"/>
        <v>20.87912087912088</v>
      </c>
      <c r="U13" s="22" t="s">
        <v>37</v>
      </c>
      <c r="V13" s="23"/>
      <c r="AE13" s="3" t="s">
        <v>57</v>
      </c>
    </row>
    <row r="14" spans="1:33" ht="16.2" thickBot="1" x14ac:dyDescent="0.35">
      <c r="A14" s="17">
        <v>45304</v>
      </c>
      <c r="B14" s="1" t="s">
        <v>8</v>
      </c>
      <c r="C14" s="1" t="s">
        <v>9</v>
      </c>
      <c r="D14" s="1" t="s">
        <v>13</v>
      </c>
      <c r="E14" s="1">
        <v>10</v>
      </c>
      <c r="F14" s="1">
        <v>8000</v>
      </c>
      <c r="G14" s="2">
        <v>0.06</v>
      </c>
      <c r="H14" s="1">
        <v>1500</v>
      </c>
      <c r="I14" s="37">
        <f t="shared" si="0"/>
        <v>18.75</v>
      </c>
      <c r="L14" s="14" t="s">
        <v>27</v>
      </c>
      <c r="U14" s="24" t="s">
        <v>38</v>
      </c>
      <c r="V14" s="25"/>
      <c r="AE14" s="3" t="s">
        <v>56</v>
      </c>
    </row>
    <row r="15" spans="1:33" x14ac:dyDescent="0.3">
      <c r="A15" s="17">
        <v>45305</v>
      </c>
      <c r="B15" s="1" t="s">
        <v>11</v>
      </c>
      <c r="C15" s="1" t="s">
        <v>12</v>
      </c>
      <c r="D15" s="1" t="s">
        <v>10</v>
      </c>
      <c r="E15" s="1">
        <v>8</v>
      </c>
      <c r="F15" s="1">
        <v>4800</v>
      </c>
      <c r="G15" s="2">
        <v>0.08</v>
      </c>
      <c r="H15" s="1">
        <v>900</v>
      </c>
      <c r="I15" s="37">
        <f t="shared" si="0"/>
        <v>18.75</v>
      </c>
      <c r="AF15" s="37">
        <f>MAX(I2:I21)</f>
        <v>22.222222222222221</v>
      </c>
      <c r="AG15" t="s">
        <v>58</v>
      </c>
    </row>
    <row r="16" spans="1:33" x14ac:dyDescent="0.3">
      <c r="A16" s="17">
        <v>45306</v>
      </c>
      <c r="B16" s="1" t="s">
        <v>14</v>
      </c>
      <c r="C16" s="1" t="s">
        <v>15</v>
      </c>
      <c r="D16" s="1" t="s">
        <v>19</v>
      </c>
      <c r="E16" s="1">
        <v>14</v>
      </c>
      <c r="F16" s="1">
        <v>9900</v>
      </c>
      <c r="G16" s="2">
        <v>0.04</v>
      </c>
      <c r="H16" s="1">
        <v>2200</v>
      </c>
      <c r="I16" s="37">
        <f t="shared" si="0"/>
        <v>22.222222222222221</v>
      </c>
      <c r="L16" s="18" t="s">
        <v>31</v>
      </c>
      <c r="AE16" s="15" t="s">
        <v>59</v>
      </c>
    </row>
    <row r="17" spans="1:31" x14ac:dyDescent="0.3">
      <c r="A17" s="17">
        <v>45307</v>
      </c>
      <c r="B17" s="1" t="s">
        <v>17</v>
      </c>
      <c r="C17" s="1" t="s">
        <v>18</v>
      </c>
      <c r="D17" s="1" t="s">
        <v>16</v>
      </c>
      <c r="E17" s="1">
        <v>9</v>
      </c>
      <c r="F17" s="1">
        <v>5700</v>
      </c>
      <c r="G17" s="2">
        <v>0.11</v>
      </c>
      <c r="H17" s="1">
        <v>1100</v>
      </c>
      <c r="I17" s="37">
        <f t="shared" si="0"/>
        <v>19.298245614035086</v>
      </c>
    </row>
    <row r="18" spans="1:31" x14ac:dyDescent="0.3">
      <c r="A18" s="17">
        <v>45308</v>
      </c>
      <c r="B18" s="1" t="s">
        <v>8</v>
      </c>
      <c r="C18" s="1" t="s">
        <v>9</v>
      </c>
      <c r="D18" s="1" t="s">
        <v>10</v>
      </c>
      <c r="E18" s="1">
        <v>12</v>
      </c>
      <c r="F18" s="1">
        <v>7500</v>
      </c>
      <c r="G18" s="2">
        <v>0.09</v>
      </c>
      <c r="H18" s="1">
        <v>1400</v>
      </c>
      <c r="I18" s="37">
        <f t="shared" si="0"/>
        <v>18.666666666666668</v>
      </c>
    </row>
    <row r="19" spans="1:31" ht="15.6" x14ac:dyDescent="0.3">
      <c r="A19" s="17">
        <v>45309</v>
      </c>
      <c r="B19" s="1" t="s">
        <v>11</v>
      </c>
      <c r="C19" s="1" t="s">
        <v>12</v>
      </c>
      <c r="D19" s="1" t="s">
        <v>13</v>
      </c>
      <c r="E19" s="1">
        <v>7</v>
      </c>
      <c r="F19" s="1">
        <v>5200</v>
      </c>
      <c r="G19" s="2">
        <v>0.06</v>
      </c>
      <c r="H19" s="1">
        <v>1000</v>
      </c>
      <c r="I19" s="37">
        <f t="shared" si="0"/>
        <v>19.230769230769234</v>
      </c>
      <c r="O19" s="15" t="s">
        <v>28</v>
      </c>
      <c r="AE19" s="14" t="s">
        <v>61</v>
      </c>
    </row>
    <row r="20" spans="1:31" x14ac:dyDescent="0.3">
      <c r="A20" s="17">
        <v>45310</v>
      </c>
      <c r="B20" s="1" t="s">
        <v>14</v>
      </c>
      <c r="C20" s="1" t="s">
        <v>15</v>
      </c>
      <c r="D20" s="1" t="s">
        <v>16</v>
      </c>
      <c r="E20" s="1">
        <v>11</v>
      </c>
      <c r="F20" s="1">
        <v>6800</v>
      </c>
      <c r="G20" s="2">
        <v>0.05</v>
      </c>
      <c r="H20" s="1">
        <v>1300</v>
      </c>
      <c r="I20" s="37">
        <f t="shared" si="0"/>
        <v>19.117647058823529</v>
      </c>
      <c r="O20" s="15" t="s">
        <v>29</v>
      </c>
    </row>
    <row r="21" spans="1:31" x14ac:dyDescent="0.3">
      <c r="A21" s="17">
        <v>45311</v>
      </c>
      <c r="B21" s="1" t="s">
        <v>17</v>
      </c>
      <c r="C21" s="1" t="s">
        <v>18</v>
      </c>
      <c r="D21" s="1" t="s">
        <v>19</v>
      </c>
      <c r="E21" s="1">
        <v>5</v>
      </c>
      <c r="F21" s="1">
        <v>4300</v>
      </c>
      <c r="G21" s="2">
        <v>7.0000000000000007E-2</v>
      </c>
      <c r="H21" s="1">
        <v>850</v>
      </c>
      <c r="I21" s="37">
        <f t="shared" si="0"/>
        <v>19.767441860465116</v>
      </c>
      <c r="AE21" s="3" t="s">
        <v>62</v>
      </c>
    </row>
    <row r="22" spans="1:31" x14ac:dyDescent="0.3">
      <c r="AE22" s="3" t="s">
        <v>20</v>
      </c>
    </row>
    <row r="23" spans="1:31" ht="15.6" x14ac:dyDescent="0.3">
      <c r="U23" s="14" t="s">
        <v>39</v>
      </c>
    </row>
    <row r="24" spans="1:31" x14ac:dyDescent="0.3">
      <c r="AE24" s="15" t="s">
        <v>83</v>
      </c>
    </row>
    <row r="25" spans="1:31" x14ac:dyDescent="0.3">
      <c r="U25" s="3" t="s">
        <v>40</v>
      </c>
    </row>
    <row r="26" spans="1:31" ht="15" thickBot="1" x14ac:dyDescent="0.35"/>
    <row r="27" spans="1:31" ht="16.2" thickBot="1" x14ac:dyDescent="0.35">
      <c r="L27" s="14" t="s">
        <v>34</v>
      </c>
      <c r="U27" s="19" t="s">
        <v>2</v>
      </c>
      <c r="V27" s="9" t="s">
        <v>41</v>
      </c>
      <c r="X27" s="28" t="s">
        <v>42</v>
      </c>
      <c r="Y27" s="29"/>
      <c r="Z27" s="30"/>
    </row>
    <row r="28" spans="1:31" x14ac:dyDescent="0.3">
      <c r="U28" s="4" t="s">
        <v>15</v>
      </c>
      <c r="V28" s="5">
        <v>7100</v>
      </c>
    </row>
    <row r="29" spans="1:31" x14ac:dyDescent="0.3">
      <c r="L29" s="3" t="s">
        <v>30</v>
      </c>
      <c r="U29" s="4" t="s">
        <v>9</v>
      </c>
      <c r="V29" s="10">
        <v>6100</v>
      </c>
    </row>
    <row r="30" spans="1:31" ht="15" thickBot="1" x14ac:dyDescent="0.35">
      <c r="U30" s="4" t="s">
        <v>12</v>
      </c>
      <c r="V30" s="10">
        <v>5900</v>
      </c>
    </row>
    <row r="31" spans="1:31" ht="15" thickBot="1" x14ac:dyDescent="0.35">
      <c r="L31" s="35" t="s">
        <v>1</v>
      </c>
      <c r="M31" s="36" t="s">
        <v>24</v>
      </c>
      <c r="U31" s="4" t="s">
        <v>18</v>
      </c>
      <c r="V31" s="10">
        <v>5650</v>
      </c>
    </row>
    <row r="32" spans="1:31" ht="15" thickBot="1" x14ac:dyDescent="0.35">
      <c r="L32" s="20">
        <v>45292</v>
      </c>
      <c r="M32" s="5">
        <v>5000</v>
      </c>
      <c r="U32" s="8" t="s">
        <v>23</v>
      </c>
      <c r="V32" s="6">
        <v>24750</v>
      </c>
    </row>
    <row r="33" spans="12:28" x14ac:dyDescent="0.3">
      <c r="L33" s="20">
        <v>45293</v>
      </c>
      <c r="M33" s="10">
        <v>7000</v>
      </c>
    </row>
    <row r="34" spans="12:28" x14ac:dyDescent="0.3">
      <c r="L34" s="20">
        <v>45294</v>
      </c>
      <c r="M34" s="10">
        <v>4000</v>
      </c>
    </row>
    <row r="35" spans="12:28" x14ac:dyDescent="0.3">
      <c r="L35" s="20">
        <v>45295</v>
      </c>
      <c r="M35" s="10">
        <v>3000</v>
      </c>
    </row>
    <row r="36" spans="12:28" ht="15.6" x14ac:dyDescent="0.3">
      <c r="L36" s="20">
        <v>45296</v>
      </c>
      <c r="M36" s="10">
        <v>8400</v>
      </c>
      <c r="U36" s="14" t="s">
        <v>43</v>
      </c>
    </row>
    <row r="37" spans="12:28" x14ac:dyDescent="0.3">
      <c r="L37" s="20">
        <v>45297</v>
      </c>
      <c r="M37" s="10">
        <v>4900</v>
      </c>
    </row>
    <row r="38" spans="12:28" x14ac:dyDescent="0.3">
      <c r="L38" s="20">
        <v>45298</v>
      </c>
      <c r="M38" s="10">
        <v>10500</v>
      </c>
      <c r="O38" s="15" t="s">
        <v>33</v>
      </c>
      <c r="U38" s="3" t="s">
        <v>44</v>
      </c>
    </row>
    <row r="39" spans="12:28" x14ac:dyDescent="0.3">
      <c r="L39" s="20">
        <v>45299</v>
      </c>
      <c r="M39" s="10">
        <v>6200</v>
      </c>
      <c r="O39" s="15" t="s">
        <v>32</v>
      </c>
      <c r="U39" s="3" t="s">
        <v>45</v>
      </c>
    </row>
    <row r="40" spans="12:28" ht="15" thickBot="1" x14ac:dyDescent="0.35">
      <c r="L40" s="20">
        <v>45300</v>
      </c>
      <c r="M40" s="10">
        <v>2800</v>
      </c>
    </row>
    <row r="41" spans="12:28" ht="15" thickBot="1" x14ac:dyDescent="0.35">
      <c r="L41" s="20">
        <v>45301</v>
      </c>
      <c r="M41" s="10">
        <v>7700</v>
      </c>
      <c r="U41" s="7" t="s">
        <v>2</v>
      </c>
      <c r="V41" s="26" t="s">
        <v>46</v>
      </c>
      <c r="X41" s="34" t="s">
        <v>47</v>
      </c>
      <c r="Y41" s="29"/>
      <c r="Z41" s="29"/>
      <c r="AA41" s="29"/>
      <c r="AB41" s="30"/>
    </row>
    <row r="42" spans="12:28" x14ac:dyDescent="0.3">
      <c r="L42" s="20">
        <v>45302</v>
      </c>
      <c r="M42" s="10">
        <v>3600</v>
      </c>
      <c r="U42" s="4" t="s">
        <v>17</v>
      </c>
      <c r="V42" s="31">
        <v>9.1999999999999998E-2</v>
      </c>
    </row>
    <row r="43" spans="12:28" x14ac:dyDescent="0.3">
      <c r="L43" s="20">
        <v>45303</v>
      </c>
      <c r="M43" s="10">
        <v>9100</v>
      </c>
      <c r="U43" s="4" t="s">
        <v>8</v>
      </c>
      <c r="V43" s="32">
        <v>8.4000000000000005E-2</v>
      </c>
    </row>
    <row r="44" spans="12:28" x14ac:dyDescent="0.3">
      <c r="L44" s="20">
        <v>45304</v>
      </c>
      <c r="M44" s="10">
        <v>8000</v>
      </c>
      <c r="U44" s="4" t="s">
        <v>11</v>
      </c>
      <c r="V44" s="32">
        <v>5.6000000000000008E-2</v>
      </c>
    </row>
    <row r="45" spans="12:28" ht="15" thickBot="1" x14ac:dyDescent="0.35">
      <c r="L45" s="20">
        <v>45305</v>
      </c>
      <c r="M45" s="10">
        <v>4800</v>
      </c>
      <c r="U45" s="4" t="s">
        <v>14</v>
      </c>
      <c r="V45" s="32">
        <v>5.2000000000000005E-2</v>
      </c>
    </row>
    <row r="46" spans="12:28" ht="15" thickBot="1" x14ac:dyDescent="0.35">
      <c r="L46" s="20">
        <v>45306</v>
      </c>
      <c r="M46" s="10">
        <v>9900</v>
      </c>
      <c r="U46" s="8" t="s">
        <v>23</v>
      </c>
      <c r="V46" s="33">
        <v>7.1000000000000035E-2</v>
      </c>
    </row>
    <row r="47" spans="12:28" x14ac:dyDescent="0.3">
      <c r="L47" s="20">
        <v>45307</v>
      </c>
      <c r="M47" s="10">
        <v>5700</v>
      </c>
    </row>
    <row r="48" spans="12:28" x14ac:dyDescent="0.3">
      <c r="L48" s="20">
        <v>45308</v>
      </c>
      <c r="M48" s="10">
        <v>7500</v>
      </c>
    </row>
    <row r="49" spans="12:22" ht="15.6" x14ac:dyDescent="0.3">
      <c r="L49" s="20">
        <v>45309</v>
      </c>
      <c r="M49" s="10">
        <v>5200</v>
      </c>
      <c r="U49" s="14" t="s">
        <v>48</v>
      </c>
    </row>
    <row r="50" spans="12:22" x14ac:dyDescent="0.3">
      <c r="L50" s="20">
        <v>45310</v>
      </c>
      <c r="M50" s="10">
        <v>6800</v>
      </c>
    </row>
    <row r="51" spans="12:22" ht="15" thickBot="1" x14ac:dyDescent="0.35">
      <c r="L51" s="20">
        <v>45311</v>
      </c>
      <c r="M51" s="10">
        <v>4300</v>
      </c>
      <c r="U51" s="3" t="s">
        <v>49</v>
      </c>
    </row>
    <row r="52" spans="12:22" ht="15" thickBot="1" x14ac:dyDescent="0.35">
      <c r="L52" s="21" t="s">
        <v>23</v>
      </c>
      <c r="M52" s="6">
        <v>124400</v>
      </c>
    </row>
    <row r="53" spans="12:22" ht="15" thickBot="1" x14ac:dyDescent="0.35">
      <c r="U53" s="19" t="s">
        <v>3</v>
      </c>
      <c r="V53" s="36" t="s">
        <v>24</v>
      </c>
    </row>
    <row r="54" spans="12:22" ht="15" thickBot="1" x14ac:dyDescent="0.35">
      <c r="U54" s="4" t="s">
        <v>10</v>
      </c>
      <c r="V54" s="5">
        <v>25000</v>
      </c>
    </row>
    <row r="55" spans="12:22" ht="15" thickBot="1" x14ac:dyDescent="0.35">
      <c r="U55" s="8" t="s">
        <v>23</v>
      </c>
      <c r="V55" s="6">
        <v>25000</v>
      </c>
    </row>
  </sheetData>
  <conditionalFormatting sqref="H2:H21">
    <cfRule type="cellIs" dxfId="0" priority="1" operator="lessThan">
      <formula>1000</formula>
    </cfRule>
  </conditionalFormatting>
  <pageMargins left="0.7" right="0.7" top="0.75" bottom="0.75" header="0.3" footer="0.3"/>
  <drawing r:id="rId7"/>
  <tableParts count="1">
    <tablePart r:id="rId8"/>
  </tableParts>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Pivot_sheet</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SHIVANSH YADAV</dc:creator>
  <cp:lastModifiedBy>Khusath Pandey</cp:lastModifiedBy>
  <dcterms:created xsi:type="dcterms:W3CDTF">2025-12-16T08:26:45Z</dcterms:created>
  <dcterms:modified xsi:type="dcterms:W3CDTF">2026-01-08T16:29:01Z</dcterms:modified>
</cp:coreProperties>
</file>